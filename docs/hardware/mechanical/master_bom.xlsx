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L SparkNod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21" authorId="0">
      <text>
        <r>
          <rPr>
            <sz val="10"/>
            <rFont val="Arial"/>
            <family val="2"/>
          </rPr>
          <t xml:space="preserve">min 100
	-Michael Burke</t>
        </r>
      </text>
    </comment>
    <comment ref="E23" authorId="0">
      <text>
        <r>
          <rPr>
            <sz val="10"/>
            <rFont val="Arial"/>
            <family val="2"/>
          </rPr>
          <t xml:space="preserve">min 100
	-Michael Burke</t>
        </r>
      </text>
    </comment>
    <comment ref="E25" authorId="0">
      <text>
        <r>
          <rPr>
            <sz val="10"/>
            <rFont val="Arial"/>
            <family val="2"/>
          </rPr>
          <t xml:space="preserve">min 100
	-Michael Burke</t>
        </r>
      </text>
    </comment>
    <comment ref="I29" authorId="0">
      <text>
        <r>
          <rPr>
            <sz val="10"/>
            <rFont val="Arial"/>
            <family val="2"/>
          </rPr>
          <t xml:space="preserve">100 in pack
	-Michael Burke</t>
        </r>
      </text>
    </comment>
    <comment ref="J35" authorId="0">
      <text>
        <r>
          <rPr>
            <sz val="10"/>
            <rFont val="Arial"/>
            <family val="2"/>
          </rPr>
          <t xml:space="preserve">Right part?
	-Michael Burke
Replaced with 
https://eproc-au.element14.com/vishay/vy1472m63y5uq63v0/ceramic-capacitor-4700pf-250v/dp/2524648
	-Michael Burke</t>
        </r>
      </text>
    </comment>
  </commentList>
</comments>
</file>

<file path=xl/sharedStrings.xml><?xml version="1.0" encoding="utf-8"?>
<sst xmlns="http://schemas.openxmlformats.org/spreadsheetml/2006/main" count="229" uniqueCount="133">
  <si>
    <t xml:space="preserve">Status</t>
  </si>
  <si>
    <t xml:space="preserve">Board</t>
  </si>
  <si>
    <t xml:space="preserve">Item Name</t>
  </si>
  <si>
    <t xml:space="preserve">Per SparkNode Quantity</t>
  </si>
  <si>
    <t xml:space="preserve">Total Quantity Needed</t>
  </si>
  <si>
    <t xml:space="preserve">Quantity We Have in Stock</t>
  </si>
  <si>
    <t xml:space="preserve">Unit Price (A$)</t>
  </si>
  <si>
    <t xml:space="preserve">Cost (A$)</t>
  </si>
  <si>
    <t xml:space="preserve">Remarks</t>
  </si>
  <si>
    <t xml:space="preserve">Manufacturer Part</t>
  </si>
  <si>
    <t xml:space="preserve">Manufacturer</t>
  </si>
  <si>
    <t xml:space="preserve">Supplier</t>
  </si>
  <si>
    <t xml:space="preserve">Supplier Part</t>
  </si>
  <si>
    <t xml:space="preserve">Link</t>
  </si>
  <si>
    <t xml:space="preserve">Circle</t>
  </si>
  <si>
    <t xml:space="preserve">Circle board with SMT components pre-assembled</t>
  </si>
  <si>
    <t xml:space="preserve">Ismet’s design</t>
  </si>
  <si>
    <t xml:space="preserve">JLCPCB</t>
  </si>
  <si>
    <t xml:space="preserve">Back</t>
  </si>
  <si>
    <t xml:space="preserve">Backboard PCB</t>
  </si>
  <si>
    <t xml:space="preserve">Body</t>
  </si>
  <si>
    <t xml:space="preserve">Hall-effect sensor board (for wheel rotation counting)</t>
  </si>
  <si>
    <t xml:space="preserve">Dagu DG01D 48:1 motor (sold in pairs)</t>
  </si>
  <si>
    <t xml:space="preserve">Dagu</t>
  </si>
  <si>
    <t xml:space="preserve">Core Electronics</t>
  </si>
  <si>
    <t xml:space="preserve">https://core-electronics.com.au/hobby-gearmotor-140-rpm-pair.html</t>
  </si>
  <si>
    <t xml:space="preserve">GY-912 IMU module</t>
  </si>
  <si>
    <t xml:space="preserve">Ali Express</t>
  </si>
  <si>
    <t xml:space="preserve">https://www.aliexpress.com/item/1005006894756676.html</t>
  </si>
  <si>
    <t xml:space="preserve">Robot chassis and wheels</t>
  </si>
  <si>
    <t xml:space="preserve">https://www.aliexpress.com/item/1005009043311098.html</t>
  </si>
  <si>
    <t xml:space="preserve">Ball castor wheels</t>
  </si>
  <si>
    <t xml:space="preserve">https://www.aliexpress.com/item/1005009290683513.html</t>
  </si>
  <si>
    <t xml:space="preserve">Battery set</t>
  </si>
  <si>
    <t xml:space="preserve">Li-Ion AA batteries</t>
  </si>
  <si>
    <t xml:space="preserve">We will test 21700 batteries, and switch to 21700 if our circuit works well. Otherwise we will continue using eneloops</t>
  </si>
  <si>
    <t xml:space="preserve">Check numbers</t>
  </si>
  <si>
    <t xml:space="preserve">Contact, WR-WTB, Socket, Crimp, 22 AWG, 28 AWG</t>
  </si>
  <si>
    <t xml:space="preserve"> 61900113722DEC</t>
  </si>
  <si>
    <t xml:space="preserve">WURTH</t>
  </si>
  <si>
    <t xml:space="preserve">Element14</t>
  </si>
  <si>
    <t xml:space="preserve">https://au.element14.com/wurth-elektronik/61900113722dec/contact-2-54mm-crimp-awg28-22/dp/1841425?ost=1841425</t>
  </si>
  <si>
    <t xml:space="preserve">Do not order</t>
  </si>
  <si>
    <t xml:space="preserve">ESP-32 Cam AI-Thinker module</t>
  </si>
  <si>
    <t xml:space="preserve">https://www.aliexpress.com/item/1005006097541310.html</t>
  </si>
  <si>
    <t xml:space="preserve"> #2870 5V Step-Up/Step-Down Voltage Regulator w/ Adjustable Low-Voltage Cutoff S9V11F5S6CMA</t>
  </si>
  <si>
    <t xml:space="preserve">S9V11F5S6CMA</t>
  </si>
  <si>
    <t xml:space="preserve">Pololu</t>
  </si>
  <si>
    <t xml:space="preserve">https://core-electronics.com.au/5v-step-up-step-down-voltage-regulator-w-adjustable-low-voltage-cutoff-s9v11f5s6cma.html</t>
  </si>
  <si>
    <t xml:space="preserve">Slide Switch</t>
  </si>
  <si>
    <t xml:space="preserve">MFS101D-8-Z</t>
  </si>
  <si>
    <t xml:space="preserve">NIDEC COMPONENTS</t>
  </si>
  <si>
    <t xml:space="preserve">563-1556-ND</t>
  </si>
  <si>
    <t xml:space="preserve">https://au.element14.com/nidec-copal/mfs101d-8-z/slide-switch-spdt-2a-30vac-th/dp/2854844</t>
  </si>
  <si>
    <t xml:space="preserve">Fuse, Cartridge, Fast Acting, 1.6 A, 250 V, 5mm x 20mm, 0.2" x 0.79", FSF</t>
  </si>
  <si>
    <t xml:space="preserve"> 0034.1518</t>
  </si>
  <si>
    <t xml:space="preserve"> SCHURTER</t>
  </si>
  <si>
    <t xml:space="preserve">https://au.element14.com/schurter/0034-1518/fuse-fast-acting-glass-1-6a/dp/1360787</t>
  </si>
  <si>
    <t xml:space="preserve">HDR-TH_2P-P2.54-V-R1-C2-FEMALE HOUSING</t>
  </si>
  <si>
    <t xml:space="preserve">2212S-02SG-85</t>
  </si>
  <si>
    <t xml:space="preserve">MULTICOMP</t>
  </si>
  <si>
    <t xml:space="preserve">https://au.element14.com/multicomp-pro/2212s-02sg-85/receptacle-tht-vertical-2-54mm/dp/1593458</t>
  </si>
  <si>
    <t xml:space="preserve">HDR-TH_4P-P2.54-V-R1-C4-FEMALE HOUSING</t>
  </si>
  <si>
    <t xml:space="preserve">2212S-04SG-85</t>
  </si>
  <si>
    <t xml:space="preserve">https://au.element14.com/multicomp/2212s-04sg-85/socket-pcb-1-row-4way/dp/1593460?ost=1593460</t>
  </si>
  <si>
    <t xml:space="preserve">HDR-TH_5P-P2.54-V-R1-C5 FEMALE HOUSING</t>
  </si>
  <si>
    <t xml:space="preserve">2212S-05SG-85</t>
  </si>
  <si>
    <t xml:space="preserve">https://au.element14.com/multicomp-pro/2212s-05sg-85/socket-pcb-1-row-5way/dp/1593461</t>
  </si>
  <si>
    <t xml:space="preserve">Circle, Back</t>
  </si>
  <si>
    <t xml:space="preserve">HDR-TH_8P-P2.54-V-R1-C8-FEMALE HOUSING</t>
  </si>
  <si>
    <t xml:space="preserve">2212S-08SG-85</t>
  </si>
  <si>
    <t xml:space="preserve">https://au.element14.com/multicomp-pro/2212s-08sg-85/socket-pcb-1-row-8way/dp/1593463?ost=1593463</t>
  </si>
  <si>
    <t xml:space="preserve">CONN PCB MALE 2 X 2.54MM PIN BOTTOM LOCKING RIGHT ANGLE HEADER</t>
  </si>
  <si>
    <t xml:space="preserve">https://au.element14.com/wurth-elektronik/61900211021/header-2-54mm-r-a-b-locking-2way/dp/1841368?ost=1841368</t>
  </si>
  <si>
    <t xml:space="preserve">CONN_HDR_MALE_PIN_2.54_LOCKING_VERTICAL_R1_C2</t>
  </si>
  <si>
    <t xml:space="preserve">https://au.element14.com/wurth-elektronik/61900211121/header-2-54mm-locking-2way/dp/1841369</t>
  </si>
  <si>
    <t xml:space="preserve">Connector Housing, WR-WTB, Receptacle, 2 Ways, 2.54 mm</t>
  </si>
  <si>
    <t xml:space="preserve">https://au.element14.com/wurth-elektronik/61900211621/housing-2-54mm-2way/dp/1841370?ost=1841370</t>
  </si>
  <si>
    <t xml:space="preserve">Sensor, Back</t>
  </si>
  <si>
    <t xml:space="preserve">CONN PCB MALE 4 X 2.54MM PIN VERTICAL LOCKING HEADER</t>
  </si>
  <si>
    <t xml:space="preserve">https://au.element14.com/wurth-elektronik/61900411121/header-2-54mm-locking-4way/dp/1841378?ost=1841378</t>
  </si>
  <si>
    <t xml:space="preserve">Connector Housing, WR-WTB, Receptacle, 4 Ways, 2.54 mm</t>
  </si>
  <si>
    <t xml:space="preserve">https://au.element14.com/wurth-elektronik/61900411621/housing-2-54mm-4way/dp/1841379?ost=1841379</t>
  </si>
  <si>
    <t xml:space="preserve">CONN PCB MALE 5 X 2.54MM PIN VERTICAL LOCKING HEADER</t>
  </si>
  <si>
    <t xml:space="preserve">https://au.element14.com/wurth-elektronik/61900511121/header-2-54mm-locking-5way/dp/1841382?ost=1841382</t>
  </si>
  <si>
    <t xml:space="preserve">Connector Housing, WR-WTB, Receptacle, 5 Ways, 2.54 mm</t>
  </si>
  <si>
    <t xml:space="preserve">https://au.element14.com/wurth-elektronik/61900511621/housing-2-54mm-5way/dp/1841383?ost=1841383</t>
  </si>
  <si>
    <t xml:space="preserve">CONN PCB MALE 8 X 2.54MM PIN BOTTOM LOCKING RIGHT ANGLE HEADER</t>
  </si>
  <si>
    <t xml:space="preserve">https://au.element14.com/wurth-elektronik/61900811021/conn-r-a-header-8pos-1row-2-54mm/dp/3818035</t>
  </si>
  <si>
    <t xml:space="preserve">Connector Housing, WR-WTB, Receptacle, 8 Ways, 2.54 mm</t>
  </si>
  <si>
    <t xml:space="preserve">https://au.element14.com/wurth-elektronik/61900811621/connector-housing-rcpt-8pos-2/dp/3818418?ost=3818418</t>
  </si>
  <si>
    <t xml:space="preserve">SWITCH TACT 6MMX6MM</t>
  </si>
  <si>
    <t xml:space="preserve">MCDTS6-1K</t>
  </si>
  <si>
    <t xml:space="preserve">https://au.element14.com/multicomp-pro/mcdts6-1k/tactile-switch-4-3mm-100g/dp/9471677?ost=mcdts6-1k</t>
  </si>
  <si>
    <t xml:space="preserve">Sensor </t>
  </si>
  <si>
    <t xml:space="preserve">TEST POINT 1.6MM 1MM</t>
  </si>
  <si>
    <t xml:space="preserve">minimum order 10</t>
  </si>
  <si>
    <t xml:space="preserve">https://au.element14.com/multicomp/test-1-bk/test-pin-pcb-black-pk100/dp/1702000</t>
  </si>
  <si>
    <t xml:space="preserve">FUSE HOLDER-TH-20MMX5MM</t>
  </si>
  <si>
    <t xml:space="preserve">SCHURTER</t>
  </si>
  <si>
    <t xml:space="preserve">https://au.element14.com/schurter/0751-0110/fuse-clip-5x20mm-pcb-mount/dp/1453528</t>
  </si>
  <si>
    <t xml:space="preserve">Minimoto motor driver DRV 8830 module</t>
  </si>
  <si>
    <t xml:space="preserve">https://www.aliexpress.com/item/32811501311.html</t>
  </si>
  <si>
    <t xml:space="preserve">LED light pipe</t>
  </si>
  <si>
    <t xml:space="preserve">CAP CER 100n 2.5MM</t>
  </si>
  <si>
    <t xml:space="preserve">K104Z15Y5VE5TL2</t>
  </si>
  <si>
    <t xml:space="preserve">VISHAY</t>
  </si>
  <si>
    <t xml:space="preserve">https://au.element14.com/vishay/k104z15y5ve5tl2/bc-components-part-number/dp/3322180</t>
  </si>
  <si>
    <t xml:space="preserve">DRV5033AJQLPGM hall-effect sensor</t>
  </si>
  <si>
    <t xml:space="preserve">Omnipolar hall-effect switch</t>
  </si>
  <si>
    <t xml:space="preserve">4.7nf</t>
  </si>
  <si>
    <t xml:space="preserve">https://au.element14.com/vishay/k104z15y5ve5tl2/cap-0-1uf-25v-mlcc-radial/dp/3289392</t>
  </si>
  <si>
    <t xml:space="preserve">CAP ELEC 10u</t>
  </si>
  <si>
    <t xml:space="preserve">200 resistor</t>
  </si>
  <si>
    <t xml:space="preserve">1.2K resistor</t>
  </si>
  <si>
    <t xml:space="preserve">M3 phillips head screw 10 mm</t>
  </si>
  <si>
    <t xml:space="preserve">For fixing the castor wheel base and circle board to the battery holder base</t>
  </si>
  <si>
    <t xml:space="preserve">M3 counter sunk head screw 10 mm</t>
  </si>
  <si>
    <t xml:space="preserve">For fixing the battery holder base to the acrylic chassis</t>
  </si>
  <si>
    <t xml:space="preserve">M3 phillips head screw 16 mm</t>
  </si>
  <si>
    <t xml:space="preserve">For fixing the SPL SparkNode esp32-cam base</t>
  </si>
  <si>
    <t xml:space="preserve">M3 hex nut</t>
  </si>
  <si>
    <t xml:space="preserve">M3 flat washer</t>
  </si>
  <si>
    <t xml:space="preserve">M3 internal shakeproof washer</t>
  </si>
  <si>
    <t xml:space="preserve">AA battery spring contact</t>
  </si>
  <si>
    <t xml:space="preserve">AA battery leaf contact</t>
  </si>
  <si>
    <t xml:space="preserve">AA battery leaf + spring dual contact (spring at the right)</t>
  </si>
  <si>
    <t xml:space="preserve">Various 3D printed parts</t>
  </si>
  <si>
    <t xml:space="preserve">(details coming soon)</t>
  </si>
  <si>
    <t xml:space="preserve">We will print them at the department’s 3D printers</t>
  </si>
  <si>
    <t xml:space="preserve">number of boards</t>
  </si>
  <si>
    <t xml:space="preserve">Total</t>
  </si>
  <si>
    <t xml:space="preserve">per sparknode cost (if we order 5 PCBs)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</si>
</sst>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[$$-C09]#,##0.00;[RED]\-[$$-C09]#,##0.00"/>
    <numFmt numFmtId="167" formatCode="@"/>
    <numFmt numFmtId="168" formatCode="#,##0"/>
  </numFmts>
  <fonts count="1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FreeSans"/>
      <family val="2"/>
      <charset val="1"/>
    </font>
    <font>
      <b val="true"/>
      <sz val="11"/>
      <color theme="1"/>
      <name val="DejaVu Sans"/>
      <family val="2"/>
      <charset val="1"/>
    </font>
    <font>
      <sz val="11"/>
      <color theme="1"/>
      <name val="Arial"/>
      <family val="0"/>
      <charset val="1"/>
    </font>
    <font>
      <sz val="10"/>
      <color rgb="FF000000"/>
      <name val="FreeSans"/>
      <family val="2"/>
      <charset val="1"/>
    </font>
    <font>
      <sz val="10"/>
      <color theme="1"/>
      <name val="FreeSans"/>
      <family val="2"/>
      <charset val="1"/>
    </font>
    <font>
      <sz val="10"/>
      <color rgb="FF0000FF"/>
      <name val="FreeSans"/>
      <family val="2"/>
      <charset val="1"/>
    </font>
    <font>
      <u val="single"/>
      <sz val="10"/>
      <color rgb="FF0000FF"/>
      <name val="FreeSans"/>
      <family val="2"/>
      <charset val="1"/>
    </font>
    <font>
      <sz val="11"/>
      <color theme="1"/>
      <name val="FreeSans"/>
      <family val="2"/>
      <charset val="1"/>
    </font>
    <font>
      <b val="true"/>
      <sz val="10"/>
      <color rgb="FF000000"/>
      <name val="FreeSans"/>
      <family val="2"/>
      <charset val="1"/>
    </font>
    <font>
      <b val="true"/>
      <sz val="11"/>
      <color rgb="FF000000"/>
      <name val="FreeSans"/>
      <family val="2"/>
      <charset val="1"/>
    </font>
    <font>
      <sz val="11"/>
      <color theme="1"/>
      <name val="Calibri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 style="medium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7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8" fontId="8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au.element14.com/wurth-elektronik/61900113722dec/contact-2-54mm-crimp-awg28-22/dp/1841425?ost=1841425" TargetMode="External"/><Relationship Id="rId3" Type="http://schemas.openxmlformats.org/officeDocument/2006/relationships/hyperlink" Target="https://core-electronics.com.au/5v-step-up-step-down-voltage-regulator-w-adjustable-low-voltage-cutoff-s9v11f5s6cma.html" TargetMode="External"/><Relationship Id="rId4" Type="http://schemas.openxmlformats.org/officeDocument/2006/relationships/hyperlink" Target="https://au.element14.com/nidec-copal/mfs101d-8-z/slide-switch-spdt-2a-30vac-th/dp/2854844" TargetMode="External"/><Relationship Id="rId5" Type="http://schemas.openxmlformats.org/officeDocument/2006/relationships/hyperlink" Target="https://au.element14.com/schurter/0034-1518/fuse-fast-acting-glass-1-6a/dp/1360787" TargetMode="External"/><Relationship Id="rId6" Type="http://schemas.openxmlformats.org/officeDocument/2006/relationships/hyperlink" Target="https://au.element14.com/multicomp-pro/2212s-02sg-85/receptacle-tht-vertical-2-54mm/dp/1593458" TargetMode="External"/><Relationship Id="rId7" Type="http://schemas.openxmlformats.org/officeDocument/2006/relationships/hyperlink" Target="https://au.element14.com/multicomp/2212s-04sg-85/socket-pcb-1-row-4way/dp/1593460?ost=1593460" TargetMode="External"/><Relationship Id="rId8" Type="http://schemas.openxmlformats.org/officeDocument/2006/relationships/hyperlink" Target="https://au.element14.com/multicomp-pro/2212s-05sg-85/socket-pcb-1-row-5way/dp/1593461" TargetMode="External"/><Relationship Id="rId9" Type="http://schemas.openxmlformats.org/officeDocument/2006/relationships/hyperlink" Target="https://au.element14.com/multicomp-pro/2212s-08sg-85/socket-pcb-1-row-8way/dp/1593463?ost=1593463" TargetMode="External"/><Relationship Id="rId10" Type="http://schemas.openxmlformats.org/officeDocument/2006/relationships/hyperlink" Target="https://au.element14.com/wurth-elektronik/61900211021/header-2-54mm-r-a-b-locking-2way/dp/1841368?ost=1841368" TargetMode="External"/><Relationship Id="rId11" Type="http://schemas.openxmlformats.org/officeDocument/2006/relationships/hyperlink" Target="https://au.element14.com/wurth-elektronik/61900211121/header-2-54mm-locking-2way/dp/1841369" TargetMode="External"/><Relationship Id="rId12" Type="http://schemas.openxmlformats.org/officeDocument/2006/relationships/hyperlink" Target="https://au.element14.com/wurth-elektronik/61900211621/housing-2-54mm-2way/dp/1841370?ost=1841370" TargetMode="External"/><Relationship Id="rId13" Type="http://schemas.openxmlformats.org/officeDocument/2006/relationships/hyperlink" Target="https://au.element14.com/wurth-elektronik/61900411121/header-2-54mm-locking-4way/dp/1841378?ost=1841378" TargetMode="External"/><Relationship Id="rId14" Type="http://schemas.openxmlformats.org/officeDocument/2006/relationships/hyperlink" Target="https://au.element14.com/wurth-elektronik/61900411621/housing-2-54mm-4way/dp/1841379?ost=1841379" TargetMode="External"/><Relationship Id="rId15" Type="http://schemas.openxmlformats.org/officeDocument/2006/relationships/hyperlink" Target="https://au.element14.com/wurth-elektronik/61900511121/header-2-54mm-locking-5way/dp/1841382?ost=1841382" TargetMode="External"/><Relationship Id="rId16" Type="http://schemas.openxmlformats.org/officeDocument/2006/relationships/hyperlink" Target="https://au.element14.com/wurth-elektronik/61900511621/housing-2-54mm-5way/dp/1841383?ost=1841383" TargetMode="External"/><Relationship Id="rId17" Type="http://schemas.openxmlformats.org/officeDocument/2006/relationships/hyperlink" Target="https://au.element14.com/wurth-elektronik/61900811021/conn-r-a-header-8pos-1row-2-54mm/dp/3818035" TargetMode="External"/><Relationship Id="rId18" Type="http://schemas.openxmlformats.org/officeDocument/2006/relationships/hyperlink" Target="https://au.element14.com/wurth-elektronik/61900811621/connector-housing-rcpt-8pos-2/dp/3818418?ost=3818418" TargetMode="External"/><Relationship Id="rId19" Type="http://schemas.openxmlformats.org/officeDocument/2006/relationships/hyperlink" Target="https://au.element14.com/multicomp-pro/mcdts6-1k/tactile-switch-4-3mm-100g/dp/9471677?ost=mcdts6-1k" TargetMode="External"/><Relationship Id="rId20" Type="http://schemas.openxmlformats.org/officeDocument/2006/relationships/hyperlink" Target="https://au.element14.com/multicomp/test-1-bk/test-pin-pcb-black-pk100/dp/1702000" TargetMode="External"/><Relationship Id="rId21" Type="http://schemas.openxmlformats.org/officeDocument/2006/relationships/hyperlink" Target="https://au.element14.com/schurter/0751-0110/fuse-clip-5x20mm-pcb-mount/dp/1453528" TargetMode="External"/><Relationship Id="rId22" Type="http://schemas.openxmlformats.org/officeDocument/2006/relationships/hyperlink" Target="https://au.element14.com/vishay/k104z15y5ve5tl2/bc-components-part-number/dp/3322180" TargetMode="External"/><Relationship Id="rId23" Type="http://schemas.openxmlformats.org/officeDocument/2006/relationships/hyperlink" Target="https://au.element14.com/vishay/k104z15y5ve5tl2/cap-0-1uf-25v-mlcc-radial/dp/3289392" TargetMode="External"/><Relationship Id="rId24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9" activeCellId="0" sqref="B9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8.5"/>
    <col collapsed="false" customWidth="true" hidden="false" outlineLevel="0" max="2" min="2" style="1" width="13.49"/>
    <col collapsed="false" customWidth="true" hidden="false" outlineLevel="0" max="3" min="3" style="1" width="56.5"/>
    <col collapsed="false" customWidth="true" hidden="false" outlineLevel="0" max="4" min="4" style="1" width="12.72"/>
    <col collapsed="false" customWidth="true" hidden="false" outlineLevel="0" max="5" min="5" style="1" width="11.56"/>
    <col collapsed="false" customWidth="true" hidden="false" outlineLevel="0" max="7" min="6" style="1" width="9.52"/>
    <col collapsed="false" customWidth="true" hidden="false" outlineLevel="0" max="8" min="8" style="1" width="10"/>
    <col collapsed="false" customWidth="true" hidden="false" outlineLevel="0" max="9" min="9" style="1" width="11.85"/>
    <col collapsed="false" customWidth="true" hidden="false" outlineLevel="0" max="10" min="10" style="1" width="17.84"/>
    <col collapsed="false" customWidth="true" hidden="false" outlineLevel="0" max="11" min="11" style="1" width="14.66"/>
    <col collapsed="false" customWidth="true" hidden="false" outlineLevel="0" max="12" min="12" style="1" width="11.96"/>
    <col collapsed="false" customWidth="true" hidden="false" outlineLevel="0" max="13" min="13" style="1" width="11.7"/>
    <col collapsed="false" customWidth="true" hidden="false" outlineLevel="0" max="20" min="20" style="1" width="25.63"/>
  </cols>
  <sheetData>
    <row r="1" customFormat="false" ht="35.0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="9" customFormat="true" ht="15.75" hidden="false" customHeight="false" outlineLevel="0" collapsed="false">
      <c r="B2" s="10" t="s">
        <v>14</v>
      </c>
      <c r="C2" s="11" t="s">
        <v>15</v>
      </c>
      <c r="D2" s="12" t="n">
        <v>1</v>
      </c>
      <c r="E2" s="12" t="n">
        <f aca="false">$E$50*D2</f>
        <v>5</v>
      </c>
      <c r="F2" s="12"/>
      <c r="G2" s="13" t="n">
        <v>16</v>
      </c>
      <c r="H2" s="13" t="n">
        <f aca="false">E2*G2</f>
        <v>80</v>
      </c>
      <c r="I2" s="14" t="s">
        <v>16</v>
      </c>
      <c r="J2" s="15"/>
      <c r="K2" s="15" t="s">
        <v>17</v>
      </c>
      <c r="M2" s="10"/>
    </row>
    <row r="3" s="9" customFormat="true" ht="15.75" hidden="false" customHeight="false" outlineLevel="0" collapsed="false">
      <c r="B3" s="10" t="s">
        <v>18</v>
      </c>
      <c r="C3" s="11" t="s">
        <v>19</v>
      </c>
      <c r="D3" s="12" t="n">
        <v>1</v>
      </c>
      <c r="E3" s="12" t="n">
        <f aca="false">$E$50*D3</f>
        <v>5</v>
      </c>
      <c r="F3" s="12"/>
      <c r="G3" s="13" t="n">
        <v>3</v>
      </c>
      <c r="H3" s="13" t="n">
        <f aca="false">E3*G3</f>
        <v>15</v>
      </c>
      <c r="I3" s="14" t="s">
        <v>16</v>
      </c>
      <c r="J3" s="15"/>
      <c r="K3" s="15" t="s">
        <v>17</v>
      </c>
      <c r="M3" s="10"/>
    </row>
    <row r="4" s="9" customFormat="true" ht="15.75" hidden="false" customHeight="false" outlineLevel="0" collapsed="false">
      <c r="B4" s="10" t="s">
        <v>20</v>
      </c>
      <c r="C4" s="11" t="s">
        <v>21</v>
      </c>
      <c r="D4" s="12" t="n">
        <v>1</v>
      </c>
      <c r="E4" s="12" t="n">
        <f aca="false">$E$50*D4</f>
        <v>5</v>
      </c>
      <c r="F4" s="12"/>
      <c r="G4" s="13" t="n">
        <v>3</v>
      </c>
      <c r="H4" s="13" t="n">
        <f aca="false">E4*G4</f>
        <v>15</v>
      </c>
      <c r="I4" s="14" t="s">
        <v>16</v>
      </c>
      <c r="J4" s="15"/>
      <c r="K4" s="15"/>
      <c r="M4" s="10"/>
    </row>
    <row r="5" s="9" customFormat="true" ht="15.75" hidden="false" customHeight="false" outlineLevel="0" collapsed="false">
      <c r="A5" s="16"/>
      <c r="B5" s="10" t="s">
        <v>20</v>
      </c>
      <c r="C5" s="17" t="s">
        <v>22</v>
      </c>
      <c r="D5" s="18" t="n">
        <v>1</v>
      </c>
      <c r="E5" s="18" t="n">
        <f aca="false">$E$50*D5</f>
        <v>5</v>
      </c>
      <c r="F5" s="18"/>
      <c r="G5" s="19" t="n">
        <v>10</v>
      </c>
      <c r="H5" s="13" t="n">
        <f aca="false">E5*G5</f>
        <v>50</v>
      </c>
      <c r="J5" s="20"/>
      <c r="K5" s="21" t="s">
        <v>23</v>
      </c>
      <c r="L5" s="21" t="s">
        <v>24</v>
      </c>
      <c r="N5" s="10" t="s">
        <v>25</v>
      </c>
    </row>
    <row r="6" s="9" customFormat="true" ht="15.75" hidden="false" customHeight="false" outlineLevel="0" collapsed="false">
      <c r="A6" s="16"/>
      <c r="B6" s="10" t="s">
        <v>14</v>
      </c>
      <c r="C6" s="17" t="s">
        <v>26</v>
      </c>
      <c r="D6" s="18" t="n">
        <v>1</v>
      </c>
      <c r="E6" s="18" t="n">
        <f aca="false">$E$50*D6</f>
        <v>5</v>
      </c>
      <c r="F6" s="18"/>
      <c r="G6" s="19" t="n">
        <v>17.49</v>
      </c>
      <c r="H6" s="13" t="n">
        <f aca="false">E6*G6</f>
        <v>87.45</v>
      </c>
      <c r="J6" s="20"/>
      <c r="K6" s="21"/>
      <c r="L6" s="21" t="s">
        <v>27</v>
      </c>
      <c r="N6" s="10" t="s">
        <v>28</v>
      </c>
    </row>
    <row r="7" s="9" customFormat="true" ht="15.75" hidden="false" customHeight="false" outlineLevel="0" collapsed="false">
      <c r="A7" s="16"/>
      <c r="B7" s="10" t="s">
        <v>20</v>
      </c>
      <c r="C7" s="17" t="s">
        <v>29</v>
      </c>
      <c r="D7" s="18" t="n">
        <v>1</v>
      </c>
      <c r="E7" s="18" t="n">
        <f aca="false">$E$50*D7</f>
        <v>5</v>
      </c>
      <c r="F7" s="18"/>
      <c r="G7" s="19" t="n">
        <v>4.7</v>
      </c>
      <c r="H7" s="13" t="n">
        <f aca="false">E7*G7</f>
        <v>23.5</v>
      </c>
      <c r="J7" s="20"/>
      <c r="K7" s="21"/>
      <c r="L7" s="21" t="s">
        <v>27</v>
      </c>
      <c r="N7" s="10" t="s">
        <v>30</v>
      </c>
    </row>
    <row r="8" s="9" customFormat="true" ht="15.75" hidden="false" customHeight="false" outlineLevel="0" collapsed="false">
      <c r="A8" s="16"/>
      <c r="B8" s="10" t="s">
        <v>20</v>
      </c>
      <c r="C8" s="17" t="s">
        <v>31</v>
      </c>
      <c r="D8" s="18" t="n">
        <v>2</v>
      </c>
      <c r="E8" s="18" t="n">
        <f aca="false">$E$50*D8</f>
        <v>10</v>
      </c>
      <c r="F8" s="18"/>
      <c r="G8" s="19" t="n">
        <v>0.75</v>
      </c>
      <c r="H8" s="13" t="n">
        <f aca="false">E8*G8</f>
        <v>7.5</v>
      </c>
      <c r="J8" s="20"/>
      <c r="K8" s="21"/>
      <c r="L8" s="21" t="s">
        <v>27</v>
      </c>
      <c r="N8" s="10" t="s">
        <v>32</v>
      </c>
    </row>
    <row r="9" s="9" customFormat="true" ht="23.85" hidden="false" customHeight="true" outlineLevel="0" collapsed="false">
      <c r="A9" s="16"/>
      <c r="B9" s="10" t="s">
        <v>20</v>
      </c>
      <c r="C9" s="17" t="s">
        <v>33</v>
      </c>
      <c r="D9" s="18" t="n">
        <v>1</v>
      </c>
      <c r="E9" s="18" t="n">
        <f aca="false">$E$50*D9</f>
        <v>5</v>
      </c>
      <c r="F9" s="18"/>
      <c r="G9" s="19" t="n">
        <v>20</v>
      </c>
      <c r="H9" s="13" t="n">
        <f aca="false">E9*G9</f>
        <v>100</v>
      </c>
      <c r="I9" s="22" t="s">
        <v>34</v>
      </c>
      <c r="J9" s="20"/>
      <c r="K9" s="21"/>
      <c r="L9" s="21" t="s">
        <v>27</v>
      </c>
      <c r="N9" s="23" t="s">
        <v>35</v>
      </c>
      <c r="O9" s="23"/>
      <c r="P9" s="23"/>
      <c r="Q9" s="23"/>
      <c r="R9" s="23"/>
    </row>
    <row r="10" s="9" customFormat="true" ht="20.85" hidden="false" customHeight="false" outlineLevel="0" collapsed="false">
      <c r="A10" s="24" t="s">
        <v>36</v>
      </c>
      <c r="B10" s="10" t="s">
        <v>20</v>
      </c>
      <c r="C10" s="10" t="s">
        <v>37</v>
      </c>
      <c r="D10" s="18" t="n">
        <v>39</v>
      </c>
      <c r="E10" s="18" t="n">
        <f aca="false">$E$50*D10</f>
        <v>195</v>
      </c>
      <c r="F10" s="18"/>
      <c r="G10" s="13" t="n">
        <v>0.25</v>
      </c>
      <c r="H10" s="13" t="n">
        <f aca="false">E10*G10</f>
        <v>48.75</v>
      </c>
      <c r="J10" s="25" t="s">
        <v>38</v>
      </c>
      <c r="K10" s="21" t="s">
        <v>39</v>
      </c>
      <c r="L10" s="21" t="s">
        <v>40</v>
      </c>
      <c r="M10" s="26" t="n">
        <v>1841425</v>
      </c>
      <c r="N10" s="27" t="s">
        <v>41</v>
      </c>
    </row>
    <row r="11" s="9" customFormat="true" ht="20.85" hidden="false" customHeight="false" outlineLevel="0" collapsed="false">
      <c r="A11" s="11" t="s">
        <v>42</v>
      </c>
      <c r="B11" s="10" t="s">
        <v>14</v>
      </c>
      <c r="C11" s="15" t="s">
        <v>43</v>
      </c>
      <c r="D11" s="12" t="n">
        <v>1</v>
      </c>
      <c r="E11" s="12" t="n">
        <f aca="false">$E$50*D11</f>
        <v>5</v>
      </c>
      <c r="F11" s="12" t="n">
        <v>20</v>
      </c>
      <c r="G11" s="13" t="n">
        <v>13</v>
      </c>
      <c r="H11" s="13" t="n">
        <f aca="false">E11*G11</f>
        <v>65</v>
      </c>
      <c r="I11" s="11"/>
      <c r="J11" s="15"/>
      <c r="K11" s="15"/>
      <c r="L11" s="15" t="s">
        <v>27</v>
      </c>
      <c r="N11" s="27" t="s">
        <v>44</v>
      </c>
    </row>
    <row r="12" s="9" customFormat="true" ht="20.85" hidden="false" customHeight="true" outlineLevel="0" collapsed="false">
      <c r="A12" s="11" t="s">
        <v>42</v>
      </c>
      <c r="B12" s="10" t="s">
        <v>14</v>
      </c>
      <c r="C12" s="17" t="s">
        <v>45</v>
      </c>
      <c r="D12" s="12" t="n">
        <v>1</v>
      </c>
      <c r="E12" s="12" t="n">
        <f aca="false">$E$50*D12</f>
        <v>5</v>
      </c>
      <c r="F12" s="12" t="n">
        <v>7</v>
      </c>
      <c r="G12" s="13" t="n">
        <v>17.14</v>
      </c>
      <c r="H12" s="13" t="n">
        <f aca="false">E12*G12</f>
        <v>85.7</v>
      </c>
      <c r="I12" s="10"/>
      <c r="J12" s="28" t="s">
        <v>46</v>
      </c>
      <c r="K12" s="15" t="s">
        <v>47</v>
      </c>
      <c r="L12" s="15" t="s">
        <v>24</v>
      </c>
      <c r="M12" s="10"/>
      <c r="N12" s="29" t="s">
        <v>48</v>
      </c>
      <c r="O12" s="29"/>
      <c r="P12" s="29"/>
      <c r="Q12" s="29"/>
      <c r="R12" s="29"/>
      <c r="S12" s="29"/>
      <c r="T12" s="29"/>
    </row>
    <row r="13" s="9" customFormat="true" ht="20.85" hidden="false" customHeight="false" outlineLevel="0" collapsed="false">
      <c r="A13" s="11" t="s">
        <v>42</v>
      </c>
      <c r="B13" s="10" t="s">
        <v>14</v>
      </c>
      <c r="C13" s="10" t="s">
        <v>49</v>
      </c>
      <c r="D13" s="18" t="n">
        <v>1</v>
      </c>
      <c r="E13" s="18" t="n">
        <f aca="false">$E$50*D13</f>
        <v>5</v>
      </c>
      <c r="F13" s="18" t="n">
        <v>16</v>
      </c>
      <c r="G13" s="13" t="n">
        <v>1.72</v>
      </c>
      <c r="H13" s="13" t="n">
        <f aca="false">E13*G13</f>
        <v>8.6</v>
      </c>
      <c r="J13" s="21" t="s">
        <v>50</v>
      </c>
      <c r="K13" s="21" t="s">
        <v>51</v>
      </c>
      <c r="L13" s="21" t="s">
        <v>40</v>
      </c>
      <c r="M13" s="18" t="s">
        <v>52</v>
      </c>
      <c r="N13" s="27" t="s">
        <v>53</v>
      </c>
    </row>
    <row r="14" s="9" customFormat="true" ht="20.85" hidden="false" customHeight="false" outlineLevel="0" collapsed="false">
      <c r="A14" s="11" t="s">
        <v>42</v>
      </c>
      <c r="B14" s="10" t="s">
        <v>14</v>
      </c>
      <c r="C14" s="10" t="s">
        <v>54</v>
      </c>
      <c r="D14" s="18" t="n">
        <v>1</v>
      </c>
      <c r="E14" s="18" t="n">
        <f aca="false">$E$50*D14</f>
        <v>5</v>
      </c>
      <c r="F14" s="18" t="n">
        <v>27</v>
      </c>
      <c r="G14" s="13" t="n">
        <v>0.508</v>
      </c>
      <c r="H14" s="13" t="n">
        <f aca="false">E14*G14</f>
        <v>2.54</v>
      </c>
      <c r="J14" s="25" t="s">
        <v>55</v>
      </c>
      <c r="K14" s="21" t="s">
        <v>56</v>
      </c>
      <c r="L14" s="21" t="s">
        <v>40</v>
      </c>
      <c r="M14" s="26" t="n">
        <v>1360787</v>
      </c>
      <c r="N14" s="27" t="s">
        <v>57</v>
      </c>
    </row>
    <row r="15" s="9" customFormat="true" ht="20.85" hidden="false" customHeight="false" outlineLevel="0" collapsed="false">
      <c r="A15" s="11" t="s">
        <v>42</v>
      </c>
      <c r="B15" s="10" t="s">
        <v>14</v>
      </c>
      <c r="C15" s="10" t="s">
        <v>58</v>
      </c>
      <c r="D15" s="18" t="n">
        <v>6</v>
      </c>
      <c r="E15" s="18" t="n">
        <f aca="false">$E$50*D15</f>
        <v>30</v>
      </c>
      <c r="F15" s="18" t="n">
        <v>125</v>
      </c>
      <c r="G15" s="13" t="n">
        <v>0.131</v>
      </c>
      <c r="H15" s="13" t="n">
        <f aca="false">E15*G15</f>
        <v>3.93</v>
      </c>
      <c r="J15" s="21" t="s">
        <v>59</v>
      </c>
      <c r="K15" s="21" t="s">
        <v>60</v>
      </c>
      <c r="L15" s="21" t="s">
        <v>40</v>
      </c>
      <c r="M15" s="18" t="n">
        <v>1593458</v>
      </c>
      <c r="N15" s="27" t="s">
        <v>61</v>
      </c>
    </row>
    <row r="16" s="9" customFormat="true" ht="20.85" hidden="false" customHeight="false" outlineLevel="0" collapsed="false">
      <c r="A16" s="11" t="s">
        <v>42</v>
      </c>
      <c r="B16" s="10" t="s">
        <v>14</v>
      </c>
      <c r="C16" s="10" t="s">
        <v>62</v>
      </c>
      <c r="D16" s="18" t="n">
        <v>3</v>
      </c>
      <c r="E16" s="18" t="n">
        <f aca="false">$E$50*D16</f>
        <v>15</v>
      </c>
      <c r="F16" s="18" t="n">
        <v>73</v>
      </c>
      <c r="G16" s="13" t="n">
        <v>0.287</v>
      </c>
      <c r="H16" s="13" t="n">
        <f aca="false">E16*G16</f>
        <v>4.305</v>
      </c>
      <c r="J16" s="21" t="s">
        <v>63</v>
      </c>
      <c r="K16" s="21" t="s">
        <v>60</v>
      </c>
      <c r="L16" s="21" t="s">
        <v>40</v>
      </c>
      <c r="M16" s="18" t="n">
        <v>1593460</v>
      </c>
      <c r="N16" s="27" t="s">
        <v>64</v>
      </c>
    </row>
    <row r="17" s="9" customFormat="true" ht="20.85" hidden="false" customHeight="false" outlineLevel="0" collapsed="false">
      <c r="A17" s="11" t="s">
        <v>42</v>
      </c>
      <c r="B17" s="10" t="s">
        <v>14</v>
      </c>
      <c r="C17" s="10" t="s">
        <v>65</v>
      </c>
      <c r="D17" s="18" t="n">
        <v>1</v>
      </c>
      <c r="E17" s="18" t="n">
        <f aca="false">$E$50*D17</f>
        <v>5</v>
      </c>
      <c r="F17" s="18" t="n">
        <v>27</v>
      </c>
      <c r="G17" s="13" t="n">
        <v>0.271</v>
      </c>
      <c r="H17" s="13" t="n">
        <f aca="false">E17*G17</f>
        <v>1.355</v>
      </c>
      <c r="J17" s="21" t="s">
        <v>66</v>
      </c>
      <c r="K17" s="21" t="s">
        <v>60</v>
      </c>
      <c r="L17" s="21" t="s">
        <v>40</v>
      </c>
      <c r="M17" s="18" t="n">
        <v>1593461</v>
      </c>
      <c r="N17" s="27" t="s">
        <v>67</v>
      </c>
    </row>
    <row r="18" s="9" customFormat="true" ht="15.75" hidden="false" customHeight="false" outlineLevel="0" collapsed="false">
      <c r="A18" s="11"/>
      <c r="B18" s="10" t="s">
        <v>68</v>
      </c>
      <c r="C18" s="10" t="s">
        <v>69</v>
      </c>
      <c r="D18" s="18" t="n">
        <v>3</v>
      </c>
      <c r="E18" s="18" t="n">
        <f aca="false">$E$50*D18</f>
        <v>15</v>
      </c>
      <c r="F18" s="18" t="n">
        <v>58</v>
      </c>
      <c r="G18" s="13" t="n">
        <v>0.335</v>
      </c>
      <c r="H18" s="13" t="n">
        <f aca="false">E18*G18</f>
        <v>5.025</v>
      </c>
      <c r="J18" s="21" t="s">
        <v>70</v>
      </c>
      <c r="K18" s="21" t="s">
        <v>60</v>
      </c>
      <c r="L18" s="21" t="s">
        <v>40</v>
      </c>
      <c r="M18" s="18" t="n">
        <v>1593463</v>
      </c>
      <c r="N18" s="27" t="s">
        <v>71</v>
      </c>
    </row>
    <row r="19" s="9" customFormat="true" ht="15.75" hidden="false" customHeight="false" outlineLevel="0" collapsed="false">
      <c r="A19" s="11"/>
      <c r="B19" s="10" t="s">
        <v>14</v>
      </c>
      <c r="C19" s="10" t="s">
        <v>72</v>
      </c>
      <c r="D19" s="18" t="n">
        <v>3</v>
      </c>
      <c r="E19" s="18" t="n">
        <f aca="false">$E$50*D19</f>
        <v>15</v>
      </c>
      <c r="F19" s="18" t="n">
        <v>40</v>
      </c>
      <c r="G19" s="13" t="n">
        <v>0.743</v>
      </c>
      <c r="H19" s="13" t="n">
        <f aca="false">E19*G19</f>
        <v>11.145</v>
      </c>
      <c r="J19" s="21" t="n">
        <v>61900211021</v>
      </c>
      <c r="K19" s="21" t="s">
        <v>39</v>
      </c>
      <c r="L19" s="21" t="s">
        <v>40</v>
      </c>
      <c r="M19" s="18" t="n">
        <v>1841368</v>
      </c>
      <c r="N19" s="27" t="s">
        <v>73</v>
      </c>
    </row>
    <row r="20" s="9" customFormat="true" ht="15.75" hidden="false" customHeight="false" outlineLevel="0" collapsed="false">
      <c r="A20" s="11"/>
      <c r="B20" s="10" t="s">
        <v>14</v>
      </c>
      <c r="C20" s="10" t="s">
        <v>74</v>
      </c>
      <c r="D20" s="18" t="n">
        <v>2</v>
      </c>
      <c r="E20" s="18" t="n">
        <f aca="false">$E$50*D20</f>
        <v>10</v>
      </c>
      <c r="F20" s="18" t="n">
        <v>31</v>
      </c>
      <c r="G20" s="13" t="n">
        <v>0.88</v>
      </c>
      <c r="H20" s="13" t="n">
        <f aca="false">E20*G20</f>
        <v>8.8</v>
      </c>
      <c r="J20" s="21" t="n">
        <v>61900211121</v>
      </c>
      <c r="K20" s="21" t="s">
        <v>39</v>
      </c>
      <c r="L20" s="21" t="s">
        <v>40</v>
      </c>
      <c r="M20" s="18" t="n">
        <v>1841369</v>
      </c>
      <c r="N20" s="27" t="s">
        <v>75</v>
      </c>
    </row>
    <row r="21" s="9" customFormat="true" ht="15.75" hidden="false" customHeight="false" outlineLevel="0" collapsed="false">
      <c r="A21" s="11"/>
      <c r="B21" s="10" t="s">
        <v>20</v>
      </c>
      <c r="C21" s="10" t="s">
        <v>76</v>
      </c>
      <c r="D21" s="18" t="n">
        <v>5</v>
      </c>
      <c r="E21" s="18" t="n">
        <f aca="false">$E$50*D21</f>
        <v>25</v>
      </c>
      <c r="F21" s="18" t="n">
        <v>183</v>
      </c>
      <c r="G21" s="13" t="n">
        <v>0.223</v>
      </c>
      <c r="H21" s="13" t="n">
        <f aca="false">E21*G21</f>
        <v>5.575</v>
      </c>
      <c r="J21" s="25" t="n">
        <v>61900211621</v>
      </c>
      <c r="K21" s="21" t="s">
        <v>39</v>
      </c>
      <c r="L21" s="21" t="s">
        <v>40</v>
      </c>
      <c r="M21" s="26" t="n">
        <v>1841370</v>
      </c>
      <c r="N21" s="27" t="s">
        <v>77</v>
      </c>
    </row>
    <row r="22" s="9" customFormat="true" ht="15.75" hidden="false" customHeight="false" outlineLevel="0" collapsed="false">
      <c r="A22" s="11"/>
      <c r="B22" s="10" t="s">
        <v>78</v>
      </c>
      <c r="C22" s="15" t="s">
        <v>79</v>
      </c>
      <c r="D22" s="18" t="n">
        <v>2</v>
      </c>
      <c r="E22" s="18" t="n">
        <f aca="false">$E$50*D22</f>
        <v>10</v>
      </c>
      <c r="F22" s="18" t="n">
        <v>52</v>
      </c>
      <c r="G22" s="13" t="n">
        <v>1.46</v>
      </c>
      <c r="H22" s="13" t="n">
        <f aca="false">E22*G22</f>
        <v>14.6</v>
      </c>
      <c r="J22" s="21" t="n">
        <v>61900411121</v>
      </c>
      <c r="K22" s="21" t="s">
        <v>39</v>
      </c>
      <c r="L22" s="21" t="s">
        <v>40</v>
      </c>
      <c r="M22" s="18" t="n">
        <v>1841378</v>
      </c>
      <c r="N22" s="27" t="s">
        <v>80</v>
      </c>
    </row>
    <row r="23" s="9" customFormat="true" ht="15.75" hidden="false" customHeight="false" outlineLevel="0" collapsed="false">
      <c r="A23" s="11"/>
      <c r="B23" s="10" t="s">
        <v>20</v>
      </c>
      <c r="C23" s="10" t="s">
        <v>81</v>
      </c>
      <c r="D23" s="18" t="n">
        <v>2</v>
      </c>
      <c r="E23" s="18" t="n">
        <f aca="false">$E$50*D23</f>
        <v>10</v>
      </c>
      <c r="F23" s="18" t="n">
        <v>400</v>
      </c>
      <c r="G23" s="13" t="n">
        <v>0.296</v>
      </c>
      <c r="H23" s="13" t="n">
        <f aca="false">E23*G23</f>
        <v>2.96</v>
      </c>
      <c r="J23" s="25" t="n">
        <v>61900411621</v>
      </c>
      <c r="K23" s="21" t="s">
        <v>39</v>
      </c>
      <c r="L23" s="21" t="s">
        <v>40</v>
      </c>
      <c r="M23" s="26" t="n">
        <v>1841379</v>
      </c>
      <c r="N23" s="27" t="s">
        <v>82</v>
      </c>
    </row>
    <row r="24" s="9" customFormat="true" ht="15.75" hidden="false" customHeight="false" outlineLevel="0" collapsed="false">
      <c r="A24" s="11"/>
      <c r="B24" s="10" t="s">
        <v>18</v>
      </c>
      <c r="C24" s="10" t="s">
        <v>83</v>
      </c>
      <c r="D24" s="18" t="n">
        <v>1</v>
      </c>
      <c r="E24" s="18" t="n">
        <f aca="false">$E$50*D24</f>
        <v>5</v>
      </c>
      <c r="F24" s="18" t="n">
        <v>21</v>
      </c>
      <c r="G24" s="13" t="n">
        <v>1.91</v>
      </c>
      <c r="H24" s="13" t="n">
        <f aca="false">E24*G24</f>
        <v>9.55</v>
      </c>
      <c r="J24" s="21" t="n">
        <v>61900511121</v>
      </c>
      <c r="K24" s="21" t="s">
        <v>39</v>
      </c>
      <c r="L24" s="21" t="s">
        <v>40</v>
      </c>
      <c r="M24" s="18" t="n">
        <v>1841382</v>
      </c>
      <c r="N24" s="27" t="s">
        <v>84</v>
      </c>
    </row>
    <row r="25" s="9" customFormat="true" ht="15.75" hidden="false" customHeight="false" outlineLevel="0" collapsed="false">
      <c r="A25" s="11"/>
      <c r="B25" s="10" t="s">
        <v>20</v>
      </c>
      <c r="C25" s="10" t="s">
        <v>85</v>
      </c>
      <c r="D25" s="18" t="n">
        <v>1</v>
      </c>
      <c r="E25" s="18" t="n">
        <f aca="false">$E$50*D25</f>
        <v>5</v>
      </c>
      <c r="F25" s="18" t="n">
        <v>200</v>
      </c>
      <c r="G25" s="13" t="n">
        <v>0.29</v>
      </c>
      <c r="H25" s="13" t="n">
        <f aca="false">E25*G25</f>
        <v>1.45</v>
      </c>
      <c r="J25" s="25" t="n">
        <v>61900511621</v>
      </c>
      <c r="K25" s="21" t="s">
        <v>39</v>
      </c>
      <c r="L25" s="21" t="s">
        <v>40</v>
      </c>
      <c r="M25" s="26" t="n">
        <v>1841383</v>
      </c>
      <c r="N25" s="27" t="s">
        <v>86</v>
      </c>
    </row>
    <row r="26" s="9" customFormat="true" ht="15.75" hidden="false" customHeight="false" outlineLevel="0" collapsed="false">
      <c r="A26" s="11"/>
      <c r="B26" s="10" t="s">
        <v>68</v>
      </c>
      <c r="C26" s="10" t="s">
        <v>87</v>
      </c>
      <c r="D26" s="18" t="n">
        <v>2</v>
      </c>
      <c r="E26" s="18" t="n">
        <f aca="false">$E$50*D26</f>
        <v>10</v>
      </c>
      <c r="F26" s="18" t="n">
        <v>37</v>
      </c>
      <c r="G26" s="13" t="n">
        <v>1.13</v>
      </c>
      <c r="H26" s="13" t="n">
        <f aca="false">E26*G26</f>
        <v>11.3</v>
      </c>
      <c r="J26" s="21" t="n">
        <v>61900811021</v>
      </c>
      <c r="K26" s="21" t="s">
        <v>39</v>
      </c>
      <c r="L26" s="21" t="s">
        <v>40</v>
      </c>
      <c r="M26" s="18" t="n">
        <v>3818035</v>
      </c>
      <c r="N26" s="30" t="s">
        <v>88</v>
      </c>
    </row>
    <row r="27" s="9" customFormat="true" ht="15.75" hidden="false" customHeight="false" outlineLevel="0" collapsed="false">
      <c r="A27" s="11"/>
      <c r="B27" s="10" t="s">
        <v>20</v>
      </c>
      <c r="C27" s="10" t="s">
        <v>89</v>
      </c>
      <c r="D27" s="18" t="n">
        <v>2</v>
      </c>
      <c r="E27" s="18" t="n">
        <f aca="false">$E$50*D27</f>
        <v>10</v>
      </c>
      <c r="F27" s="18" t="n">
        <v>54</v>
      </c>
      <c r="G27" s="13" t="n">
        <v>0.512</v>
      </c>
      <c r="H27" s="13" t="n">
        <f aca="false">E27*G27</f>
        <v>5.12</v>
      </c>
      <c r="J27" s="25" t="n">
        <v>61900811621</v>
      </c>
      <c r="K27" s="21" t="s">
        <v>39</v>
      </c>
      <c r="L27" s="21" t="s">
        <v>40</v>
      </c>
      <c r="M27" s="26" t="n">
        <v>3818418</v>
      </c>
      <c r="N27" s="27" t="s">
        <v>90</v>
      </c>
    </row>
    <row r="28" s="9" customFormat="true" ht="15.75" hidden="false" customHeight="false" outlineLevel="0" collapsed="false">
      <c r="A28" s="11"/>
      <c r="B28" s="10" t="s">
        <v>18</v>
      </c>
      <c r="C28" s="10" t="s">
        <v>91</v>
      </c>
      <c r="D28" s="18" t="n">
        <v>1</v>
      </c>
      <c r="E28" s="18" t="n">
        <f aca="false">$E$50*D28</f>
        <v>5</v>
      </c>
      <c r="F28" s="18" t="n">
        <v>24</v>
      </c>
      <c r="G28" s="13" t="n">
        <v>0.22</v>
      </c>
      <c r="H28" s="13" t="n">
        <f aca="false">E28*G28</f>
        <v>1.1</v>
      </c>
      <c r="J28" s="21" t="s">
        <v>92</v>
      </c>
      <c r="K28" s="21" t="s">
        <v>60</v>
      </c>
      <c r="L28" s="21" t="s">
        <v>40</v>
      </c>
      <c r="M28" s="18" t="n">
        <v>947167701</v>
      </c>
      <c r="N28" s="27" t="s">
        <v>93</v>
      </c>
    </row>
    <row r="29" s="9" customFormat="true" ht="20.85" hidden="false" customHeight="false" outlineLevel="0" collapsed="false">
      <c r="A29" s="11"/>
      <c r="B29" s="10" t="s">
        <v>94</v>
      </c>
      <c r="C29" s="15" t="s">
        <v>95</v>
      </c>
      <c r="D29" s="12" t="n">
        <v>3</v>
      </c>
      <c r="E29" s="12" t="n">
        <f aca="false">$E$50*D29</f>
        <v>15</v>
      </c>
      <c r="F29" s="12"/>
      <c r="G29" s="13" t="n">
        <v>0.186</v>
      </c>
      <c r="H29" s="13" t="n">
        <f aca="false">E29*G29</f>
        <v>2.79</v>
      </c>
      <c r="I29" s="11" t="s">
        <v>96</v>
      </c>
      <c r="J29" s="15"/>
      <c r="K29" s="15"/>
      <c r="L29" s="15" t="s">
        <v>40</v>
      </c>
      <c r="N29" s="27" t="s">
        <v>97</v>
      </c>
    </row>
    <row r="30" s="9" customFormat="true" ht="20.85" hidden="false" customHeight="false" outlineLevel="0" collapsed="false">
      <c r="A30" s="11"/>
      <c r="B30" s="10" t="s">
        <v>14</v>
      </c>
      <c r="C30" s="15" t="s">
        <v>98</v>
      </c>
      <c r="D30" s="12" t="n">
        <v>2</v>
      </c>
      <c r="E30" s="12" t="n">
        <f aca="false">$E$50*D30</f>
        <v>10</v>
      </c>
      <c r="F30" s="12" t="n">
        <v>30</v>
      </c>
      <c r="G30" s="13" t="n">
        <v>0.18</v>
      </c>
      <c r="H30" s="13" t="n">
        <f aca="false">E30*G30</f>
        <v>1.8</v>
      </c>
      <c r="I30" s="11" t="s">
        <v>96</v>
      </c>
      <c r="J30" s="31" t="n">
        <v>7510110</v>
      </c>
      <c r="K30" s="15" t="s">
        <v>99</v>
      </c>
      <c r="L30" s="15" t="s">
        <v>40</v>
      </c>
      <c r="M30" s="12" t="n">
        <v>1453528</v>
      </c>
      <c r="N30" s="27" t="s">
        <v>100</v>
      </c>
    </row>
    <row r="31" s="9" customFormat="true" ht="15.75" hidden="false" customHeight="false" outlineLevel="0" collapsed="false">
      <c r="A31" s="11"/>
      <c r="B31" s="10" t="s">
        <v>14</v>
      </c>
      <c r="C31" s="17" t="s">
        <v>101</v>
      </c>
      <c r="D31" s="18" t="n">
        <v>2</v>
      </c>
      <c r="E31" s="18" t="n">
        <f aca="false">$E$50*D31</f>
        <v>10</v>
      </c>
      <c r="F31" s="18" t="n">
        <v>21</v>
      </c>
      <c r="G31" s="19" t="n">
        <v>5.05</v>
      </c>
      <c r="H31" s="13" t="n">
        <f aca="false">E31*G31</f>
        <v>50.5</v>
      </c>
      <c r="J31" s="20"/>
      <c r="K31" s="21"/>
      <c r="L31" s="21" t="s">
        <v>27</v>
      </c>
      <c r="N31" s="10" t="s">
        <v>102</v>
      </c>
    </row>
    <row r="32" s="9" customFormat="true" ht="15.75" hidden="false" customHeight="false" outlineLevel="0" collapsed="false">
      <c r="A32" s="11"/>
      <c r="B32" s="10" t="s">
        <v>18</v>
      </c>
      <c r="C32" s="15" t="s">
        <v>103</v>
      </c>
      <c r="D32" s="18" t="n">
        <v>1</v>
      </c>
      <c r="E32" s="18" t="n">
        <f aca="false">$E$50*D32</f>
        <v>5</v>
      </c>
      <c r="F32" s="18" t="n">
        <v>14</v>
      </c>
      <c r="G32" s="32" t="n">
        <v>0.05</v>
      </c>
      <c r="H32" s="13" t="n">
        <f aca="false">E32*G32</f>
        <v>0.25</v>
      </c>
      <c r="I32" s="33"/>
      <c r="J32" s="20"/>
      <c r="K32" s="21"/>
      <c r="L32" s="21"/>
      <c r="N32" s="10"/>
    </row>
    <row r="33" s="9" customFormat="true" ht="15.75" hidden="false" customHeight="false" outlineLevel="0" collapsed="false">
      <c r="B33" s="10" t="s">
        <v>18</v>
      </c>
      <c r="C33" s="10" t="s">
        <v>104</v>
      </c>
      <c r="D33" s="18" t="n">
        <v>1</v>
      </c>
      <c r="E33" s="18" t="n">
        <f aca="false">$E$50*D33</f>
        <v>5</v>
      </c>
      <c r="F33" s="18"/>
      <c r="G33" s="13" t="n">
        <v>0.18</v>
      </c>
      <c r="H33" s="13" t="n">
        <f aca="false">E33*G33</f>
        <v>0.9</v>
      </c>
      <c r="J33" s="21" t="s">
        <v>105</v>
      </c>
      <c r="K33" s="21" t="s">
        <v>106</v>
      </c>
      <c r="L33" s="21" t="s">
        <v>40</v>
      </c>
      <c r="M33" s="18" t="n">
        <v>3322180</v>
      </c>
      <c r="N33" s="27" t="s">
        <v>107</v>
      </c>
    </row>
    <row r="34" s="9" customFormat="true" ht="30.55" hidden="false" customHeight="false" outlineLevel="0" collapsed="false">
      <c r="B34" s="10" t="s">
        <v>94</v>
      </c>
      <c r="C34" s="15" t="s">
        <v>108</v>
      </c>
      <c r="D34" s="12" t="n">
        <v>2</v>
      </c>
      <c r="E34" s="12" t="n">
        <f aca="false">$E$50*D34</f>
        <v>10</v>
      </c>
      <c r="F34" s="12" t="n">
        <v>98</v>
      </c>
      <c r="G34" s="13" t="n">
        <v>0.18</v>
      </c>
      <c r="H34" s="13" t="n">
        <f aca="false">E34*G34</f>
        <v>1.8</v>
      </c>
      <c r="I34" s="22" t="s">
        <v>109</v>
      </c>
      <c r="J34" s="21"/>
      <c r="K34" s="21"/>
      <c r="L34" s="21"/>
      <c r="M34" s="18"/>
      <c r="N34" s="27"/>
    </row>
    <row r="35" s="9" customFormat="true" ht="15.75" hidden="false" customHeight="false" outlineLevel="0" collapsed="false">
      <c r="B35" s="10" t="s">
        <v>94</v>
      </c>
      <c r="C35" s="15" t="s">
        <v>110</v>
      </c>
      <c r="D35" s="18" t="n">
        <v>4</v>
      </c>
      <c r="E35" s="12" t="n">
        <f aca="false">$E$50*D35</f>
        <v>20</v>
      </c>
      <c r="F35" s="12"/>
      <c r="G35" s="13" t="n">
        <v>0.18</v>
      </c>
      <c r="H35" s="13" t="n">
        <f aca="false">E35*G35</f>
        <v>3.6</v>
      </c>
      <c r="J35" s="21" t="s">
        <v>105</v>
      </c>
      <c r="K35" s="21" t="s">
        <v>106</v>
      </c>
      <c r="L35" s="21" t="s">
        <v>40</v>
      </c>
      <c r="M35" s="18" t="s">
        <v>105</v>
      </c>
      <c r="N35" s="27" t="s">
        <v>111</v>
      </c>
    </row>
    <row r="36" s="9" customFormat="true" ht="15.75" hidden="false" customHeight="false" outlineLevel="0" collapsed="false">
      <c r="B36" s="10" t="s">
        <v>18</v>
      </c>
      <c r="C36" s="10" t="s">
        <v>112</v>
      </c>
      <c r="D36" s="18" t="n">
        <v>1</v>
      </c>
      <c r="E36" s="18" t="n">
        <f aca="false">$E$50*D36</f>
        <v>5</v>
      </c>
      <c r="F36" s="18"/>
      <c r="G36" s="13" t="n">
        <v>0.18</v>
      </c>
      <c r="H36" s="13" t="n">
        <f aca="false">E36*G36</f>
        <v>0.9</v>
      </c>
      <c r="J36" s="20"/>
      <c r="K36" s="21"/>
      <c r="L36" s="21"/>
    </row>
    <row r="37" s="9" customFormat="true" ht="15.75" hidden="false" customHeight="false" outlineLevel="0" collapsed="false">
      <c r="B37" s="10" t="s">
        <v>94</v>
      </c>
      <c r="C37" s="15" t="s">
        <v>113</v>
      </c>
      <c r="D37" s="18" t="n">
        <v>2</v>
      </c>
      <c r="E37" s="18" t="n">
        <f aca="false">$E$50*D37</f>
        <v>10</v>
      </c>
      <c r="F37" s="18"/>
      <c r="G37" s="32" t="n">
        <v>0</v>
      </c>
      <c r="H37" s="13" t="n">
        <f aca="false">E37*G37</f>
        <v>0</v>
      </c>
      <c r="I37" s="33"/>
      <c r="J37" s="20"/>
      <c r="K37" s="21"/>
      <c r="L37" s="21"/>
      <c r="N37" s="10"/>
    </row>
    <row r="38" s="9" customFormat="true" ht="15.75" hidden="false" customHeight="false" outlineLevel="0" collapsed="false">
      <c r="B38" s="10" t="s">
        <v>94</v>
      </c>
      <c r="C38" s="15" t="s">
        <v>114</v>
      </c>
      <c r="D38" s="18" t="n">
        <v>2</v>
      </c>
      <c r="E38" s="18" t="n">
        <f aca="false">$E$50*D38</f>
        <v>10</v>
      </c>
      <c r="F38" s="18"/>
      <c r="G38" s="32" t="n">
        <v>0</v>
      </c>
      <c r="H38" s="13" t="n">
        <f aca="false">E38*G38</f>
        <v>0</v>
      </c>
      <c r="I38" s="33"/>
      <c r="J38" s="20"/>
      <c r="K38" s="21"/>
      <c r="L38" s="21"/>
      <c r="N38" s="10"/>
    </row>
    <row r="39" s="9" customFormat="true" ht="15.75" hidden="false" customHeight="false" outlineLevel="0" collapsed="false">
      <c r="B39" s="34" t="s">
        <v>20</v>
      </c>
      <c r="C39" s="10" t="s">
        <v>115</v>
      </c>
      <c r="D39" s="18" t="n">
        <v>12</v>
      </c>
      <c r="E39" s="18" t="n">
        <f aca="false">$E$50*D39</f>
        <v>60</v>
      </c>
      <c r="F39" s="33"/>
      <c r="G39" s="32" t="n">
        <v>0</v>
      </c>
      <c r="H39" s="13" t="n">
        <f aca="false">E39*G39</f>
        <v>0</v>
      </c>
      <c r="I39" s="9" t="s">
        <v>116</v>
      </c>
      <c r="J39" s="20"/>
      <c r="K39" s="21"/>
      <c r="L39" s="21"/>
      <c r="N39" s="10"/>
    </row>
    <row r="40" s="9" customFormat="true" ht="15.75" hidden="false" customHeight="false" outlineLevel="0" collapsed="false">
      <c r="B40" s="34" t="s">
        <v>20</v>
      </c>
      <c r="C40" s="10" t="s">
        <v>117</v>
      </c>
      <c r="D40" s="18" t="n">
        <v>4</v>
      </c>
      <c r="E40" s="18" t="n">
        <f aca="false">$E$50*D40</f>
        <v>20</v>
      </c>
      <c r="F40" s="33"/>
      <c r="G40" s="32"/>
      <c r="H40" s="13"/>
      <c r="I40" s="9" t="s">
        <v>118</v>
      </c>
      <c r="J40" s="20"/>
      <c r="K40" s="21"/>
      <c r="L40" s="21"/>
      <c r="N40" s="10"/>
    </row>
    <row r="41" s="9" customFormat="true" ht="15.75" hidden="false" customHeight="false" outlineLevel="0" collapsed="false">
      <c r="B41" s="34" t="s">
        <v>20</v>
      </c>
      <c r="C41" s="10" t="s">
        <v>119</v>
      </c>
      <c r="D41" s="18" t="n">
        <v>4</v>
      </c>
      <c r="E41" s="18" t="n">
        <f aca="false">$E$50*D41</f>
        <v>20</v>
      </c>
      <c r="F41" s="33"/>
      <c r="G41" s="32"/>
      <c r="H41" s="13"/>
      <c r="I41" s="9" t="s">
        <v>120</v>
      </c>
      <c r="J41" s="20"/>
      <c r="K41" s="21"/>
      <c r="L41" s="21"/>
      <c r="N41" s="10"/>
    </row>
    <row r="42" s="9" customFormat="true" ht="15.75" hidden="false" customHeight="false" outlineLevel="0" collapsed="false">
      <c r="B42" s="34" t="s">
        <v>20</v>
      </c>
      <c r="C42" s="10" t="s">
        <v>121</v>
      </c>
      <c r="D42" s="18" t="n">
        <v>20</v>
      </c>
      <c r="E42" s="18" t="n">
        <f aca="false">$E$50*D42</f>
        <v>100</v>
      </c>
      <c r="F42" s="33"/>
      <c r="G42" s="32"/>
      <c r="H42" s="13"/>
      <c r="J42" s="20"/>
      <c r="K42" s="21"/>
      <c r="L42" s="21"/>
      <c r="N42" s="10"/>
    </row>
    <row r="43" s="9" customFormat="true" ht="15.75" hidden="false" customHeight="false" outlineLevel="0" collapsed="false">
      <c r="B43" s="34" t="s">
        <v>20</v>
      </c>
      <c r="C43" s="10" t="s">
        <v>122</v>
      </c>
      <c r="D43" s="18" t="n">
        <v>20</v>
      </c>
      <c r="E43" s="18" t="n">
        <f aca="false">$E$50*D43</f>
        <v>100</v>
      </c>
      <c r="F43" s="33"/>
      <c r="G43" s="32"/>
      <c r="H43" s="13"/>
      <c r="J43" s="20"/>
      <c r="K43" s="21"/>
      <c r="L43" s="21"/>
      <c r="N43" s="10"/>
    </row>
    <row r="44" s="9" customFormat="true" ht="15.75" hidden="false" customHeight="false" outlineLevel="0" collapsed="false">
      <c r="B44" s="34" t="s">
        <v>20</v>
      </c>
      <c r="C44" s="10" t="s">
        <v>123</v>
      </c>
      <c r="D44" s="18" t="n">
        <v>20</v>
      </c>
      <c r="E44" s="18" t="n">
        <f aca="false">$E$50*D44</f>
        <v>100</v>
      </c>
      <c r="F44" s="33"/>
      <c r="G44" s="32"/>
      <c r="H44" s="13"/>
      <c r="J44" s="20"/>
      <c r="K44" s="21"/>
      <c r="L44" s="21"/>
      <c r="N44" s="10"/>
    </row>
    <row r="45" s="9" customFormat="true" ht="15.75" hidden="false" customHeight="false" outlineLevel="0" collapsed="false">
      <c r="B45" s="10" t="s">
        <v>20</v>
      </c>
      <c r="C45" s="10" t="s">
        <v>124</v>
      </c>
      <c r="D45" s="18" t="n">
        <v>3</v>
      </c>
      <c r="E45" s="18" t="n">
        <f aca="false">$E$50*D45</f>
        <v>15</v>
      </c>
      <c r="F45" s="33" t="n">
        <v>9</v>
      </c>
      <c r="G45" s="32"/>
      <c r="H45" s="13"/>
      <c r="J45" s="20"/>
      <c r="K45" s="21"/>
      <c r="L45" s="21" t="s">
        <v>27</v>
      </c>
      <c r="N45" s="10"/>
    </row>
    <row r="46" customFormat="false" ht="15.75" hidden="false" customHeight="false" outlineLevel="0" collapsed="false">
      <c r="A46" s="9"/>
      <c r="B46" s="10" t="s">
        <v>20</v>
      </c>
      <c r="C46" s="10" t="s">
        <v>125</v>
      </c>
      <c r="D46" s="18" t="n">
        <v>1</v>
      </c>
      <c r="E46" s="18" t="n">
        <f aca="false">$E$50*D46</f>
        <v>5</v>
      </c>
      <c r="F46" s="33" t="n">
        <v>19</v>
      </c>
      <c r="G46" s="32"/>
      <c r="H46" s="13"/>
      <c r="I46" s="9"/>
      <c r="J46" s="20"/>
      <c r="K46" s="21"/>
      <c r="L46" s="21" t="s">
        <v>27</v>
      </c>
      <c r="M46" s="9"/>
      <c r="N46" s="10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</row>
    <row r="47" s="9" customFormat="true" ht="15.75" hidden="false" customHeight="false" outlineLevel="0" collapsed="false">
      <c r="A47" s="1"/>
      <c r="B47" s="10" t="s">
        <v>20</v>
      </c>
      <c r="C47" s="1" t="s">
        <v>126</v>
      </c>
      <c r="D47" s="35" t="n">
        <v>1</v>
      </c>
      <c r="E47" s="18" t="n">
        <f aca="false">$E$50*D47</f>
        <v>5</v>
      </c>
      <c r="F47" s="1" t="n">
        <v>19</v>
      </c>
      <c r="G47" s="1"/>
      <c r="H47" s="1"/>
      <c r="I47" s="1"/>
      <c r="J47" s="1"/>
      <c r="K47" s="1"/>
      <c r="L47" s="21" t="s">
        <v>27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="9" customFormat="true" ht="15.75" hidden="false" customHeight="false" outlineLevel="0" collapsed="false">
      <c r="B48" s="10" t="s">
        <v>20</v>
      </c>
      <c r="C48" s="10" t="s">
        <v>127</v>
      </c>
      <c r="D48" s="33" t="s">
        <v>128</v>
      </c>
      <c r="E48" s="33"/>
      <c r="F48" s="33"/>
      <c r="G48" s="32" t="n">
        <v>0</v>
      </c>
      <c r="H48" s="13" t="n">
        <f aca="false">E48*G48</f>
        <v>0</v>
      </c>
      <c r="J48" s="20"/>
      <c r="K48" s="21"/>
      <c r="L48" s="21"/>
      <c r="N48" s="10" t="s">
        <v>129</v>
      </c>
    </row>
    <row r="49" customFormat="false" ht="15.75" hidden="false" customHeight="false" outlineLevel="0" collapsed="false">
      <c r="A49" s="9"/>
      <c r="B49" s="10"/>
      <c r="C49" s="36"/>
      <c r="D49" s="37"/>
      <c r="E49" s="37"/>
      <c r="F49" s="37"/>
      <c r="G49" s="32"/>
      <c r="H49" s="13"/>
      <c r="I49" s="9"/>
      <c r="J49" s="38"/>
      <c r="K49" s="39"/>
      <c r="L49" s="39"/>
      <c r="N49" s="40"/>
    </row>
    <row r="50" customFormat="false" ht="15.75" hidden="false" customHeight="false" outlineLevel="0" collapsed="false">
      <c r="A50" s="9"/>
      <c r="B50" s="9"/>
      <c r="C50" s="41" t="s">
        <v>130</v>
      </c>
      <c r="D50" s="41"/>
      <c r="E50" s="41" t="n">
        <v>5</v>
      </c>
      <c r="F50" s="41"/>
      <c r="G50" s="9"/>
      <c r="H50" s="9"/>
      <c r="I50" s="9"/>
      <c r="J50" s="38"/>
      <c r="K50" s="39"/>
      <c r="L50" s="39"/>
      <c r="N50" s="40"/>
    </row>
    <row r="51" customFormat="false" ht="15.75" hidden="false" customHeight="false" outlineLevel="0" collapsed="false">
      <c r="A51" s="9"/>
      <c r="B51" s="9"/>
      <c r="C51" s="41" t="s">
        <v>131</v>
      </c>
      <c r="D51" s="42"/>
      <c r="E51" s="42"/>
      <c r="F51" s="42"/>
      <c r="G51" s="43"/>
      <c r="H51" s="43" t="n">
        <f aca="false">SUM(H2:H38)</f>
        <v>737.795</v>
      </c>
      <c r="I51" s="9"/>
      <c r="J51" s="38"/>
      <c r="K51" s="39"/>
      <c r="L51" s="39"/>
      <c r="N51" s="40"/>
    </row>
    <row r="52" customFormat="false" ht="15.75" hidden="false" customHeight="false" outlineLevel="0" collapsed="false">
      <c r="A52" s="9"/>
      <c r="B52" s="9"/>
      <c r="C52" s="9"/>
      <c r="D52" s="44"/>
      <c r="E52" s="9"/>
      <c r="F52" s="9"/>
      <c r="G52" s="9"/>
      <c r="H52" s="9"/>
      <c r="I52" s="9"/>
      <c r="J52" s="38"/>
      <c r="K52" s="39"/>
      <c r="L52" s="39"/>
      <c r="N52" s="40"/>
    </row>
    <row r="53" customFormat="false" ht="15.75" hidden="false" customHeight="false" outlineLevel="0" collapsed="false">
      <c r="C53" s="45" t="s">
        <v>132</v>
      </c>
      <c r="D53" s="46"/>
      <c r="E53" s="45"/>
      <c r="F53" s="45"/>
      <c r="G53" s="45"/>
      <c r="H53" s="47" t="n">
        <f aca="false">H51/E50</f>
        <v>147.559</v>
      </c>
      <c r="J53" s="48"/>
      <c r="K53" s="49"/>
      <c r="L53" s="49"/>
      <c r="N53" s="40"/>
    </row>
    <row r="54" customFormat="false" ht="15.75" hidden="false" customHeight="false" outlineLevel="0" collapsed="false">
      <c r="D54" s="50"/>
      <c r="J54" s="48"/>
      <c r="K54" s="49"/>
      <c r="L54" s="49"/>
      <c r="N54" s="40"/>
    </row>
    <row r="55" customFormat="false" ht="15.75" hidden="false" customHeight="false" outlineLevel="0" collapsed="false">
      <c r="D55" s="50"/>
      <c r="J55" s="48"/>
      <c r="K55" s="49"/>
      <c r="L55" s="49"/>
      <c r="N55" s="40"/>
    </row>
    <row r="56" customFormat="false" ht="15.75" hidden="false" customHeight="false" outlineLevel="0" collapsed="false">
      <c r="D56" s="50"/>
      <c r="J56" s="48"/>
      <c r="K56" s="49"/>
      <c r="L56" s="49"/>
      <c r="N56" s="40"/>
    </row>
    <row r="57" customFormat="false" ht="15.75" hidden="false" customHeight="false" outlineLevel="0" collapsed="false">
      <c r="D57" s="50"/>
      <c r="J57" s="48"/>
      <c r="K57" s="49"/>
      <c r="L57" s="49"/>
      <c r="N57" s="40"/>
    </row>
    <row r="58" customFormat="false" ht="15.75" hidden="false" customHeight="false" outlineLevel="0" collapsed="false">
      <c r="J58" s="48"/>
      <c r="K58" s="49"/>
      <c r="L58" s="49"/>
      <c r="N58" s="40"/>
    </row>
    <row r="59" customFormat="false" ht="15.75" hidden="false" customHeight="false" outlineLevel="0" collapsed="false">
      <c r="J59" s="48"/>
      <c r="K59" s="49"/>
      <c r="L59" s="49"/>
      <c r="N59" s="40"/>
    </row>
    <row r="60" customFormat="false" ht="15.75" hidden="false" customHeight="false" outlineLevel="0" collapsed="false">
      <c r="J60" s="48"/>
      <c r="K60" s="49"/>
      <c r="L60" s="49"/>
      <c r="N60" s="40"/>
    </row>
    <row r="61" customFormat="false" ht="15.75" hidden="false" customHeight="false" outlineLevel="0" collapsed="false">
      <c r="J61" s="48"/>
      <c r="K61" s="49"/>
      <c r="L61" s="49"/>
      <c r="N61" s="40"/>
    </row>
    <row r="62" customFormat="false" ht="15.75" hidden="false" customHeight="false" outlineLevel="0" collapsed="false">
      <c r="J62" s="48"/>
      <c r="K62" s="49"/>
      <c r="L62" s="49"/>
      <c r="N62" s="40"/>
    </row>
    <row r="63" customFormat="false" ht="15.75" hidden="false" customHeight="false" outlineLevel="0" collapsed="false">
      <c r="J63" s="48"/>
      <c r="K63" s="49"/>
      <c r="L63" s="49"/>
      <c r="N63" s="40"/>
    </row>
    <row r="64" customFormat="false" ht="15.75" hidden="false" customHeight="false" outlineLevel="0" collapsed="false">
      <c r="J64" s="48"/>
      <c r="K64" s="49"/>
      <c r="L64" s="49"/>
      <c r="N64" s="40"/>
    </row>
    <row r="65" customFormat="false" ht="15.75" hidden="false" customHeight="false" outlineLevel="0" collapsed="false">
      <c r="J65" s="48"/>
      <c r="K65" s="49"/>
      <c r="L65" s="49"/>
      <c r="N65" s="40"/>
    </row>
    <row r="66" customFormat="false" ht="15.75" hidden="false" customHeight="false" outlineLevel="0" collapsed="false">
      <c r="J66" s="48"/>
      <c r="K66" s="49"/>
      <c r="L66" s="49"/>
      <c r="N66" s="40"/>
    </row>
    <row r="67" customFormat="false" ht="15.75" hidden="false" customHeight="false" outlineLevel="0" collapsed="false">
      <c r="J67" s="48"/>
      <c r="K67" s="49"/>
      <c r="L67" s="49"/>
      <c r="N67" s="40"/>
    </row>
    <row r="68" customFormat="false" ht="15.75" hidden="false" customHeight="false" outlineLevel="0" collapsed="false">
      <c r="J68" s="48"/>
      <c r="K68" s="49"/>
      <c r="L68" s="49"/>
      <c r="N68" s="40"/>
    </row>
    <row r="69" customFormat="false" ht="15.75" hidden="false" customHeight="false" outlineLevel="0" collapsed="false">
      <c r="J69" s="48"/>
      <c r="K69" s="49"/>
      <c r="L69" s="49"/>
      <c r="N69" s="40"/>
    </row>
    <row r="70" customFormat="false" ht="15.75" hidden="false" customHeight="false" outlineLevel="0" collapsed="false">
      <c r="J70" s="48"/>
      <c r="K70" s="49"/>
      <c r="L70" s="49"/>
      <c r="N70" s="40"/>
    </row>
    <row r="71" customFormat="false" ht="15.75" hidden="false" customHeight="false" outlineLevel="0" collapsed="false">
      <c r="J71" s="48"/>
      <c r="K71" s="49"/>
      <c r="L71" s="49"/>
      <c r="N71" s="40"/>
    </row>
    <row r="72" customFormat="false" ht="15.75" hidden="false" customHeight="false" outlineLevel="0" collapsed="false">
      <c r="J72" s="48"/>
      <c r="K72" s="49"/>
      <c r="L72" s="49"/>
      <c r="N72" s="40"/>
    </row>
    <row r="73" customFormat="false" ht="15.75" hidden="false" customHeight="false" outlineLevel="0" collapsed="false">
      <c r="J73" s="48"/>
      <c r="K73" s="49"/>
      <c r="L73" s="49"/>
      <c r="N73" s="40"/>
    </row>
    <row r="74" customFormat="false" ht="15.75" hidden="false" customHeight="false" outlineLevel="0" collapsed="false">
      <c r="J74" s="48"/>
      <c r="K74" s="49"/>
      <c r="L74" s="49"/>
      <c r="N74" s="40"/>
    </row>
    <row r="75" customFormat="false" ht="15.75" hidden="false" customHeight="false" outlineLevel="0" collapsed="false">
      <c r="J75" s="48"/>
      <c r="K75" s="49"/>
      <c r="L75" s="49"/>
      <c r="N75" s="40"/>
    </row>
    <row r="76" customFormat="false" ht="15.75" hidden="false" customHeight="false" outlineLevel="0" collapsed="false">
      <c r="J76" s="48"/>
      <c r="K76" s="49"/>
      <c r="L76" s="49"/>
      <c r="N76" s="40"/>
    </row>
    <row r="77" customFormat="false" ht="15.75" hidden="false" customHeight="false" outlineLevel="0" collapsed="false">
      <c r="J77" s="48"/>
      <c r="K77" s="49"/>
      <c r="L77" s="49"/>
      <c r="N77" s="40"/>
    </row>
    <row r="78" customFormat="false" ht="15.75" hidden="false" customHeight="false" outlineLevel="0" collapsed="false">
      <c r="J78" s="48"/>
      <c r="K78" s="49"/>
      <c r="L78" s="49"/>
      <c r="N78" s="40"/>
    </row>
    <row r="79" customFormat="false" ht="15.75" hidden="false" customHeight="false" outlineLevel="0" collapsed="false">
      <c r="J79" s="48"/>
      <c r="K79" s="49"/>
      <c r="L79" s="49"/>
      <c r="N79" s="40"/>
    </row>
    <row r="80" customFormat="false" ht="15.75" hidden="false" customHeight="false" outlineLevel="0" collapsed="false">
      <c r="J80" s="48"/>
      <c r="K80" s="49"/>
      <c r="L80" s="49"/>
      <c r="N80" s="40"/>
    </row>
    <row r="81" customFormat="false" ht="15.75" hidden="false" customHeight="false" outlineLevel="0" collapsed="false">
      <c r="J81" s="48"/>
      <c r="K81" s="49"/>
      <c r="L81" s="49"/>
      <c r="N81" s="40"/>
    </row>
    <row r="82" customFormat="false" ht="15.75" hidden="false" customHeight="false" outlineLevel="0" collapsed="false">
      <c r="J82" s="48"/>
      <c r="K82" s="49"/>
      <c r="L82" s="49"/>
      <c r="N82" s="40"/>
    </row>
    <row r="83" customFormat="false" ht="15.75" hidden="false" customHeight="false" outlineLevel="0" collapsed="false">
      <c r="J83" s="48"/>
      <c r="K83" s="49"/>
      <c r="L83" s="49"/>
      <c r="N83" s="40"/>
    </row>
    <row r="84" customFormat="false" ht="15.75" hidden="false" customHeight="false" outlineLevel="0" collapsed="false">
      <c r="J84" s="48"/>
      <c r="K84" s="49"/>
      <c r="L84" s="49"/>
      <c r="N84" s="40"/>
    </row>
    <row r="85" customFormat="false" ht="15.75" hidden="false" customHeight="false" outlineLevel="0" collapsed="false">
      <c r="J85" s="48"/>
      <c r="K85" s="49"/>
      <c r="L85" s="49"/>
      <c r="N85" s="40"/>
    </row>
    <row r="86" customFormat="false" ht="15.75" hidden="false" customHeight="false" outlineLevel="0" collapsed="false">
      <c r="J86" s="48"/>
      <c r="K86" s="49"/>
      <c r="L86" s="49"/>
      <c r="N86" s="40"/>
    </row>
    <row r="87" customFormat="false" ht="15.75" hidden="false" customHeight="false" outlineLevel="0" collapsed="false">
      <c r="J87" s="48"/>
      <c r="K87" s="49"/>
      <c r="L87" s="49"/>
      <c r="N87" s="40"/>
    </row>
    <row r="88" customFormat="false" ht="15.75" hidden="false" customHeight="false" outlineLevel="0" collapsed="false">
      <c r="J88" s="48"/>
      <c r="K88" s="49"/>
      <c r="L88" s="49"/>
      <c r="N88" s="40"/>
    </row>
    <row r="89" customFormat="false" ht="15.75" hidden="false" customHeight="false" outlineLevel="0" collapsed="false">
      <c r="J89" s="48"/>
      <c r="K89" s="49"/>
      <c r="L89" s="49"/>
      <c r="N89" s="40"/>
    </row>
    <row r="90" customFormat="false" ht="15.75" hidden="false" customHeight="false" outlineLevel="0" collapsed="false">
      <c r="J90" s="48"/>
      <c r="K90" s="49"/>
      <c r="L90" s="49"/>
      <c r="N90" s="40"/>
    </row>
    <row r="91" customFormat="false" ht="15.75" hidden="false" customHeight="false" outlineLevel="0" collapsed="false">
      <c r="J91" s="48"/>
      <c r="K91" s="49"/>
      <c r="L91" s="49"/>
      <c r="N91" s="40"/>
    </row>
    <row r="92" customFormat="false" ht="15.75" hidden="false" customHeight="false" outlineLevel="0" collapsed="false">
      <c r="J92" s="48"/>
      <c r="K92" s="49"/>
      <c r="L92" s="49"/>
      <c r="N92" s="40"/>
    </row>
    <row r="93" customFormat="false" ht="15.75" hidden="false" customHeight="false" outlineLevel="0" collapsed="false">
      <c r="J93" s="48"/>
      <c r="K93" s="49"/>
      <c r="L93" s="49"/>
      <c r="N93" s="40"/>
    </row>
    <row r="94" customFormat="false" ht="15.75" hidden="false" customHeight="false" outlineLevel="0" collapsed="false">
      <c r="J94" s="48"/>
      <c r="K94" s="49"/>
      <c r="L94" s="49"/>
      <c r="N94" s="40"/>
    </row>
    <row r="95" customFormat="false" ht="15.75" hidden="false" customHeight="false" outlineLevel="0" collapsed="false">
      <c r="J95" s="48"/>
      <c r="K95" s="49"/>
      <c r="L95" s="49"/>
      <c r="N95" s="40"/>
    </row>
    <row r="96" customFormat="false" ht="15.75" hidden="false" customHeight="false" outlineLevel="0" collapsed="false">
      <c r="J96" s="48"/>
      <c r="K96" s="49"/>
      <c r="L96" s="49"/>
      <c r="N96" s="40"/>
    </row>
    <row r="97" customFormat="false" ht="15.75" hidden="false" customHeight="false" outlineLevel="0" collapsed="false">
      <c r="J97" s="48"/>
      <c r="K97" s="49"/>
      <c r="L97" s="49"/>
      <c r="N97" s="40"/>
    </row>
    <row r="98" customFormat="false" ht="15.75" hidden="false" customHeight="false" outlineLevel="0" collapsed="false">
      <c r="J98" s="48"/>
      <c r="K98" s="49"/>
      <c r="L98" s="49"/>
      <c r="N98" s="40"/>
    </row>
    <row r="99" customFormat="false" ht="15.75" hidden="false" customHeight="false" outlineLevel="0" collapsed="false">
      <c r="J99" s="48"/>
      <c r="K99" s="49"/>
      <c r="L99" s="49"/>
      <c r="N99" s="40"/>
    </row>
    <row r="100" customFormat="false" ht="15.75" hidden="false" customHeight="false" outlineLevel="0" collapsed="false">
      <c r="J100" s="48"/>
      <c r="K100" s="49"/>
      <c r="L100" s="49"/>
      <c r="N100" s="40"/>
    </row>
    <row r="101" customFormat="false" ht="15.75" hidden="false" customHeight="false" outlineLevel="0" collapsed="false">
      <c r="J101" s="48"/>
      <c r="K101" s="49"/>
      <c r="L101" s="49"/>
      <c r="N101" s="40"/>
    </row>
    <row r="102" customFormat="false" ht="15.75" hidden="false" customHeight="false" outlineLevel="0" collapsed="false">
      <c r="J102" s="48"/>
      <c r="K102" s="49"/>
      <c r="L102" s="49"/>
      <c r="N102" s="40"/>
    </row>
    <row r="103" customFormat="false" ht="15.75" hidden="false" customHeight="false" outlineLevel="0" collapsed="false">
      <c r="J103" s="48"/>
      <c r="K103" s="49"/>
      <c r="L103" s="49"/>
      <c r="N103" s="40"/>
    </row>
    <row r="104" customFormat="false" ht="15.75" hidden="false" customHeight="false" outlineLevel="0" collapsed="false">
      <c r="J104" s="48"/>
      <c r="K104" s="49"/>
      <c r="L104" s="49"/>
      <c r="N104" s="40"/>
    </row>
    <row r="105" customFormat="false" ht="15.75" hidden="false" customHeight="false" outlineLevel="0" collapsed="false">
      <c r="J105" s="48"/>
      <c r="K105" s="49"/>
      <c r="L105" s="49"/>
      <c r="N105" s="40"/>
    </row>
    <row r="106" customFormat="false" ht="15.75" hidden="false" customHeight="false" outlineLevel="0" collapsed="false">
      <c r="J106" s="48"/>
      <c r="K106" s="49"/>
      <c r="L106" s="49"/>
      <c r="N106" s="40"/>
    </row>
    <row r="107" customFormat="false" ht="15.75" hidden="false" customHeight="false" outlineLevel="0" collapsed="false">
      <c r="J107" s="48"/>
      <c r="K107" s="49"/>
      <c r="L107" s="49"/>
      <c r="N107" s="40"/>
    </row>
    <row r="108" customFormat="false" ht="15.75" hidden="false" customHeight="false" outlineLevel="0" collapsed="false">
      <c r="J108" s="48"/>
      <c r="K108" s="49"/>
      <c r="L108" s="49"/>
      <c r="N108" s="40"/>
    </row>
    <row r="109" customFormat="false" ht="15.75" hidden="false" customHeight="false" outlineLevel="0" collapsed="false">
      <c r="J109" s="48"/>
      <c r="K109" s="49"/>
      <c r="L109" s="49"/>
      <c r="N109" s="40"/>
    </row>
    <row r="110" customFormat="false" ht="15.75" hidden="false" customHeight="false" outlineLevel="0" collapsed="false">
      <c r="J110" s="48"/>
      <c r="K110" s="49"/>
      <c r="L110" s="49"/>
      <c r="N110" s="40"/>
    </row>
    <row r="111" customFormat="false" ht="15.75" hidden="false" customHeight="false" outlineLevel="0" collapsed="false">
      <c r="J111" s="48"/>
      <c r="K111" s="49"/>
      <c r="L111" s="49"/>
      <c r="N111" s="40"/>
    </row>
    <row r="112" customFormat="false" ht="15.75" hidden="false" customHeight="false" outlineLevel="0" collapsed="false">
      <c r="J112" s="48"/>
      <c r="K112" s="49"/>
      <c r="L112" s="49"/>
      <c r="N112" s="40"/>
    </row>
    <row r="113" customFormat="false" ht="15.75" hidden="false" customHeight="false" outlineLevel="0" collapsed="false">
      <c r="J113" s="48"/>
      <c r="K113" s="49"/>
      <c r="L113" s="49"/>
      <c r="N113" s="40"/>
    </row>
    <row r="114" customFormat="false" ht="15.75" hidden="false" customHeight="false" outlineLevel="0" collapsed="false">
      <c r="J114" s="48"/>
      <c r="K114" s="49"/>
      <c r="L114" s="49"/>
      <c r="N114" s="40"/>
    </row>
    <row r="115" customFormat="false" ht="15.75" hidden="false" customHeight="false" outlineLevel="0" collapsed="false">
      <c r="J115" s="48"/>
      <c r="K115" s="49"/>
      <c r="L115" s="49"/>
      <c r="N115" s="40"/>
    </row>
    <row r="116" customFormat="false" ht="15.75" hidden="false" customHeight="false" outlineLevel="0" collapsed="false">
      <c r="J116" s="48"/>
      <c r="K116" s="49"/>
      <c r="L116" s="49"/>
      <c r="N116" s="40"/>
    </row>
    <row r="117" customFormat="false" ht="15.75" hidden="false" customHeight="false" outlineLevel="0" collapsed="false">
      <c r="J117" s="48"/>
      <c r="K117" s="49"/>
      <c r="L117" s="49"/>
      <c r="N117" s="40"/>
    </row>
    <row r="118" customFormat="false" ht="15.75" hidden="false" customHeight="false" outlineLevel="0" collapsed="false">
      <c r="J118" s="48"/>
      <c r="K118" s="49"/>
      <c r="L118" s="49"/>
      <c r="N118" s="40"/>
    </row>
    <row r="119" customFormat="false" ht="15.75" hidden="false" customHeight="false" outlineLevel="0" collapsed="false">
      <c r="J119" s="48"/>
      <c r="K119" s="49"/>
      <c r="L119" s="49"/>
      <c r="N119" s="40"/>
    </row>
    <row r="120" customFormat="false" ht="15.75" hidden="false" customHeight="false" outlineLevel="0" collapsed="false">
      <c r="J120" s="48"/>
      <c r="K120" s="49"/>
      <c r="L120" s="49"/>
      <c r="N120" s="40"/>
    </row>
    <row r="121" customFormat="false" ht="15.75" hidden="false" customHeight="false" outlineLevel="0" collapsed="false">
      <c r="J121" s="48"/>
      <c r="K121" s="49"/>
      <c r="L121" s="49"/>
      <c r="N121" s="40"/>
    </row>
    <row r="122" customFormat="false" ht="15.75" hidden="false" customHeight="false" outlineLevel="0" collapsed="false">
      <c r="J122" s="48"/>
      <c r="K122" s="49"/>
      <c r="L122" s="49"/>
      <c r="N122" s="40"/>
    </row>
    <row r="123" customFormat="false" ht="15.75" hidden="false" customHeight="false" outlineLevel="0" collapsed="false">
      <c r="J123" s="48"/>
      <c r="K123" s="49"/>
      <c r="L123" s="49"/>
      <c r="N123" s="40"/>
    </row>
    <row r="124" customFormat="false" ht="15.75" hidden="false" customHeight="false" outlineLevel="0" collapsed="false">
      <c r="J124" s="48"/>
      <c r="K124" s="49"/>
      <c r="L124" s="49"/>
      <c r="N124" s="40"/>
    </row>
    <row r="125" customFormat="false" ht="15.75" hidden="false" customHeight="false" outlineLevel="0" collapsed="false">
      <c r="J125" s="48"/>
      <c r="K125" s="49"/>
      <c r="L125" s="49"/>
      <c r="N125" s="40"/>
    </row>
    <row r="126" customFormat="false" ht="15.75" hidden="false" customHeight="false" outlineLevel="0" collapsed="false">
      <c r="J126" s="48"/>
      <c r="K126" s="49"/>
      <c r="L126" s="49"/>
      <c r="N126" s="40"/>
    </row>
    <row r="127" customFormat="false" ht="15.75" hidden="false" customHeight="false" outlineLevel="0" collapsed="false">
      <c r="J127" s="48"/>
      <c r="K127" s="49"/>
      <c r="L127" s="49"/>
      <c r="N127" s="40"/>
    </row>
    <row r="128" customFormat="false" ht="15.75" hidden="false" customHeight="false" outlineLevel="0" collapsed="false">
      <c r="J128" s="48"/>
      <c r="K128" s="49"/>
      <c r="L128" s="49"/>
      <c r="N128" s="40"/>
    </row>
    <row r="129" customFormat="false" ht="15.75" hidden="false" customHeight="false" outlineLevel="0" collapsed="false">
      <c r="J129" s="48"/>
      <c r="K129" s="49"/>
      <c r="L129" s="49"/>
      <c r="N129" s="40"/>
    </row>
    <row r="130" customFormat="false" ht="15.75" hidden="false" customHeight="false" outlineLevel="0" collapsed="false">
      <c r="J130" s="48"/>
      <c r="K130" s="49"/>
      <c r="L130" s="49"/>
      <c r="N130" s="40"/>
    </row>
    <row r="131" customFormat="false" ht="15.75" hidden="false" customHeight="false" outlineLevel="0" collapsed="false">
      <c r="J131" s="48"/>
      <c r="K131" s="49"/>
      <c r="L131" s="49"/>
      <c r="N131" s="40"/>
    </row>
    <row r="132" customFormat="false" ht="15.75" hidden="false" customHeight="false" outlineLevel="0" collapsed="false">
      <c r="J132" s="48"/>
      <c r="K132" s="49"/>
      <c r="L132" s="49"/>
      <c r="N132" s="40"/>
    </row>
    <row r="133" customFormat="false" ht="15.75" hidden="false" customHeight="false" outlineLevel="0" collapsed="false">
      <c r="J133" s="48"/>
      <c r="K133" s="49"/>
      <c r="L133" s="49"/>
      <c r="N133" s="40"/>
    </row>
    <row r="134" customFormat="false" ht="15.75" hidden="false" customHeight="false" outlineLevel="0" collapsed="false">
      <c r="J134" s="48"/>
      <c r="K134" s="49"/>
      <c r="L134" s="49"/>
      <c r="N134" s="40"/>
    </row>
    <row r="135" customFormat="false" ht="15.75" hidden="false" customHeight="false" outlineLevel="0" collapsed="false">
      <c r="J135" s="48"/>
      <c r="K135" s="49"/>
      <c r="L135" s="49"/>
      <c r="N135" s="40"/>
    </row>
    <row r="136" customFormat="false" ht="15.75" hidden="false" customHeight="false" outlineLevel="0" collapsed="false">
      <c r="J136" s="48"/>
      <c r="K136" s="49"/>
      <c r="L136" s="49"/>
      <c r="N136" s="40"/>
    </row>
    <row r="137" customFormat="false" ht="15.75" hidden="false" customHeight="false" outlineLevel="0" collapsed="false">
      <c r="J137" s="48"/>
      <c r="K137" s="49"/>
      <c r="L137" s="49"/>
      <c r="N137" s="40"/>
    </row>
    <row r="138" customFormat="false" ht="15.75" hidden="false" customHeight="false" outlineLevel="0" collapsed="false">
      <c r="J138" s="48"/>
      <c r="K138" s="49"/>
      <c r="L138" s="49"/>
      <c r="N138" s="40"/>
    </row>
    <row r="139" customFormat="false" ht="15.75" hidden="false" customHeight="false" outlineLevel="0" collapsed="false">
      <c r="J139" s="48"/>
      <c r="K139" s="49"/>
      <c r="L139" s="49"/>
      <c r="N139" s="40"/>
    </row>
    <row r="140" customFormat="false" ht="15.75" hidden="false" customHeight="false" outlineLevel="0" collapsed="false">
      <c r="J140" s="48"/>
      <c r="K140" s="49"/>
      <c r="L140" s="49"/>
      <c r="N140" s="40"/>
    </row>
    <row r="141" customFormat="false" ht="15.75" hidden="false" customHeight="false" outlineLevel="0" collapsed="false">
      <c r="J141" s="48"/>
      <c r="K141" s="49"/>
      <c r="L141" s="49"/>
      <c r="N141" s="40"/>
    </row>
    <row r="142" customFormat="false" ht="15.75" hidden="false" customHeight="false" outlineLevel="0" collapsed="false">
      <c r="J142" s="48"/>
      <c r="K142" s="49"/>
      <c r="L142" s="49"/>
      <c r="N142" s="40"/>
    </row>
    <row r="143" customFormat="false" ht="15.75" hidden="false" customHeight="false" outlineLevel="0" collapsed="false">
      <c r="J143" s="48"/>
      <c r="K143" s="49"/>
      <c r="L143" s="49"/>
      <c r="N143" s="40"/>
    </row>
    <row r="144" customFormat="false" ht="15.75" hidden="false" customHeight="false" outlineLevel="0" collapsed="false">
      <c r="J144" s="48"/>
      <c r="K144" s="49"/>
      <c r="L144" s="49"/>
      <c r="N144" s="40"/>
    </row>
    <row r="145" customFormat="false" ht="15.75" hidden="false" customHeight="false" outlineLevel="0" collapsed="false">
      <c r="J145" s="48"/>
      <c r="K145" s="49"/>
      <c r="L145" s="49"/>
      <c r="N145" s="40"/>
    </row>
    <row r="146" customFormat="false" ht="15.75" hidden="false" customHeight="false" outlineLevel="0" collapsed="false">
      <c r="J146" s="48"/>
      <c r="K146" s="49"/>
      <c r="L146" s="49"/>
      <c r="N146" s="40"/>
    </row>
    <row r="147" customFormat="false" ht="15.75" hidden="false" customHeight="false" outlineLevel="0" collapsed="false">
      <c r="J147" s="48"/>
      <c r="K147" s="49"/>
      <c r="L147" s="49"/>
      <c r="N147" s="40"/>
    </row>
    <row r="148" customFormat="false" ht="15.75" hidden="false" customHeight="false" outlineLevel="0" collapsed="false">
      <c r="J148" s="48"/>
      <c r="K148" s="49"/>
      <c r="L148" s="49"/>
      <c r="N148" s="40"/>
    </row>
    <row r="149" customFormat="false" ht="15.75" hidden="false" customHeight="false" outlineLevel="0" collapsed="false">
      <c r="J149" s="48"/>
      <c r="K149" s="49"/>
      <c r="L149" s="49"/>
      <c r="N149" s="40"/>
    </row>
    <row r="150" customFormat="false" ht="15.75" hidden="false" customHeight="false" outlineLevel="0" collapsed="false">
      <c r="J150" s="48"/>
      <c r="K150" s="49"/>
      <c r="L150" s="49"/>
      <c r="N150" s="40"/>
    </row>
    <row r="151" customFormat="false" ht="15.75" hidden="false" customHeight="false" outlineLevel="0" collapsed="false">
      <c r="J151" s="48"/>
      <c r="K151" s="49"/>
      <c r="L151" s="49"/>
      <c r="N151" s="40"/>
    </row>
    <row r="152" customFormat="false" ht="15.75" hidden="false" customHeight="false" outlineLevel="0" collapsed="false">
      <c r="J152" s="48"/>
      <c r="K152" s="49"/>
      <c r="L152" s="49"/>
      <c r="N152" s="40"/>
    </row>
    <row r="153" customFormat="false" ht="15.75" hidden="false" customHeight="false" outlineLevel="0" collapsed="false">
      <c r="J153" s="48"/>
      <c r="K153" s="49"/>
      <c r="L153" s="49"/>
      <c r="N153" s="40"/>
    </row>
    <row r="154" customFormat="false" ht="15.75" hidden="false" customHeight="false" outlineLevel="0" collapsed="false">
      <c r="J154" s="48"/>
      <c r="K154" s="49"/>
      <c r="L154" s="49"/>
      <c r="N154" s="40"/>
    </row>
    <row r="155" customFormat="false" ht="15.75" hidden="false" customHeight="false" outlineLevel="0" collapsed="false">
      <c r="J155" s="48"/>
      <c r="K155" s="49"/>
      <c r="L155" s="49"/>
      <c r="N155" s="40"/>
    </row>
    <row r="156" customFormat="false" ht="15.75" hidden="false" customHeight="false" outlineLevel="0" collapsed="false">
      <c r="J156" s="48"/>
      <c r="K156" s="49"/>
      <c r="L156" s="49"/>
      <c r="N156" s="40"/>
    </row>
    <row r="157" customFormat="false" ht="15.75" hidden="false" customHeight="false" outlineLevel="0" collapsed="false">
      <c r="J157" s="48"/>
      <c r="K157" s="49"/>
      <c r="L157" s="49"/>
      <c r="N157" s="40"/>
    </row>
    <row r="158" customFormat="false" ht="15.75" hidden="false" customHeight="false" outlineLevel="0" collapsed="false">
      <c r="J158" s="48"/>
      <c r="K158" s="49"/>
      <c r="L158" s="49"/>
      <c r="N158" s="40"/>
    </row>
    <row r="159" customFormat="false" ht="15.75" hidden="false" customHeight="false" outlineLevel="0" collapsed="false">
      <c r="J159" s="48"/>
      <c r="K159" s="49"/>
      <c r="L159" s="49"/>
      <c r="N159" s="40"/>
    </row>
    <row r="160" customFormat="false" ht="15.75" hidden="false" customHeight="false" outlineLevel="0" collapsed="false">
      <c r="J160" s="48"/>
      <c r="K160" s="49"/>
      <c r="L160" s="49"/>
      <c r="N160" s="40"/>
    </row>
    <row r="161" customFormat="false" ht="15.75" hidden="false" customHeight="false" outlineLevel="0" collapsed="false">
      <c r="J161" s="48"/>
      <c r="K161" s="49"/>
      <c r="L161" s="49"/>
      <c r="N161" s="40"/>
    </row>
    <row r="162" customFormat="false" ht="15.75" hidden="false" customHeight="false" outlineLevel="0" collapsed="false">
      <c r="J162" s="48"/>
      <c r="K162" s="49"/>
      <c r="L162" s="49"/>
      <c r="N162" s="40"/>
    </row>
    <row r="163" customFormat="false" ht="15.75" hidden="false" customHeight="false" outlineLevel="0" collapsed="false">
      <c r="J163" s="48"/>
      <c r="K163" s="49"/>
      <c r="L163" s="49"/>
      <c r="N163" s="40"/>
    </row>
    <row r="164" customFormat="false" ht="15.75" hidden="false" customHeight="false" outlineLevel="0" collapsed="false">
      <c r="J164" s="48"/>
      <c r="K164" s="49"/>
      <c r="L164" s="49"/>
      <c r="N164" s="40"/>
    </row>
    <row r="165" customFormat="false" ht="15.75" hidden="false" customHeight="false" outlineLevel="0" collapsed="false">
      <c r="J165" s="48"/>
      <c r="K165" s="49"/>
      <c r="L165" s="49"/>
      <c r="N165" s="40"/>
    </row>
    <row r="166" customFormat="false" ht="15.75" hidden="false" customHeight="false" outlineLevel="0" collapsed="false">
      <c r="J166" s="48"/>
      <c r="K166" s="49"/>
      <c r="L166" s="49"/>
      <c r="N166" s="40"/>
    </row>
    <row r="167" customFormat="false" ht="15.75" hidden="false" customHeight="false" outlineLevel="0" collapsed="false">
      <c r="J167" s="48"/>
      <c r="K167" s="49"/>
      <c r="L167" s="49"/>
      <c r="N167" s="40"/>
    </row>
    <row r="168" customFormat="false" ht="15.75" hidden="false" customHeight="false" outlineLevel="0" collapsed="false">
      <c r="J168" s="48"/>
      <c r="K168" s="49"/>
      <c r="L168" s="49"/>
      <c r="N168" s="40"/>
    </row>
    <row r="169" customFormat="false" ht="15.75" hidden="false" customHeight="false" outlineLevel="0" collapsed="false">
      <c r="J169" s="48"/>
      <c r="K169" s="49"/>
      <c r="L169" s="49"/>
      <c r="N169" s="40"/>
    </row>
    <row r="170" customFormat="false" ht="15.75" hidden="false" customHeight="false" outlineLevel="0" collapsed="false">
      <c r="J170" s="48"/>
      <c r="K170" s="49"/>
      <c r="L170" s="49"/>
      <c r="N170" s="40"/>
    </row>
    <row r="171" customFormat="false" ht="15.75" hidden="false" customHeight="false" outlineLevel="0" collapsed="false">
      <c r="J171" s="48"/>
      <c r="K171" s="49"/>
      <c r="L171" s="49"/>
      <c r="N171" s="40"/>
    </row>
    <row r="172" customFormat="false" ht="15.75" hidden="false" customHeight="false" outlineLevel="0" collapsed="false">
      <c r="J172" s="48"/>
      <c r="K172" s="49"/>
      <c r="L172" s="49"/>
      <c r="N172" s="40"/>
    </row>
    <row r="173" customFormat="false" ht="15.75" hidden="false" customHeight="false" outlineLevel="0" collapsed="false">
      <c r="J173" s="48"/>
      <c r="K173" s="49"/>
      <c r="L173" s="49"/>
      <c r="N173" s="40"/>
    </row>
    <row r="174" customFormat="false" ht="15.75" hidden="false" customHeight="false" outlineLevel="0" collapsed="false">
      <c r="J174" s="48"/>
      <c r="K174" s="49"/>
      <c r="L174" s="49"/>
      <c r="N174" s="40"/>
    </row>
    <row r="175" customFormat="false" ht="15.75" hidden="false" customHeight="false" outlineLevel="0" collapsed="false">
      <c r="J175" s="48"/>
      <c r="K175" s="49"/>
      <c r="L175" s="49"/>
      <c r="N175" s="40"/>
    </row>
    <row r="176" customFormat="false" ht="15.75" hidden="false" customHeight="false" outlineLevel="0" collapsed="false">
      <c r="J176" s="48"/>
      <c r="K176" s="49"/>
      <c r="L176" s="49"/>
      <c r="N176" s="40"/>
    </row>
    <row r="177" customFormat="false" ht="15.75" hidden="false" customHeight="false" outlineLevel="0" collapsed="false">
      <c r="J177" s="48"/>
      <c r="K177" s="49"/>
      <c r="L177" s="49"/>
      <c r="N177" s="40"/>
    </row>
    <row r="178" customFormat="false" ht="15.75" hidden="false" customHeight="false" outlineLevel="0" collapsed="false">
      <c r="J178" s="48"/>
      <c r="K178" s="49"/>
      <c r="L178" s="49"/>
      <c r="N178" s="40"/>
    </row>
    <row r="179" customFormat="false" ht="15.75" hidden="false" customHeight="false" outlineLevel="0" collapsed="false">
      <c r="J179" s="48"/>
      <c r="K179" s="49"/>
      <c r="L179" s="49"/>
      <c r="N179" s="40"/>
    </row>
    <row r="180" customFormat="false" ht="15.75" hidden="false" customHeight="false" outlineLevel="0" collapsed="false">
      <c r="J180" s="48"/>
      <c r="K180" s="49"/>
      <c r="L180" s="49"/>
      <c r="N180" s="40"/>
    </row>
    <row r="181" customFormat="false" ht="15.75" hidden="false" customHeight="false" outlineLevel="0" collapsed="false">
      <c r="J181" s="48"/>
      <c r="K181" s="49"/>
      <c r="L181" s="49"/>
      <c r="N181" s="40"/>
    </row>
    <row r="182" customFormat="false" ht="15.75" hidden="false" customHeight="false" outlineLevel="0" collapsed="false">
      <c r="J182" s="48"/>
      <c r="K182" s="49"/>
      <c r="L182" s="49"/>
      <c r="N182" s="40"/>
    </row>
    <row r="183" customFormat="false" ht="15.75" hidden="false" customHeight="false" outlineLevel="0" collapsed="false">
      <c r="J183" s="48"/>
      <c r="K183" s="49"/>
      <c r="L183" s="49"/>
      <c r="N183" s="40"/>
    </row>
    <row r="184" customFormat="false" ht="15.75" hidden="false" customHeight="false" outlineLevel="0" collapsed="false">
      <c r="J184" s="48"/>
      <c r="K184" s="49"/>
      <c r="L184" s="49"/>
      <c r="N184" s="40"/>
    </row>
    <row r="185" customFormat="false" ht="15.75" hidden="false" customHeight="false" outlineLevel="0" collapsed="false">
      <c r="J185" s="48"/>
      <c r="K185" s="49"/>
      <c r="L185" s="49"/>
      <c r="N185" s="40"/>
    </row>
    <row r="186" customFormat="false" ht="15.75" hidden="false" customHeight="false" outlineLevel="0" collapsed="false">
      <c r="J186" s="48"/>
      <c r="K186" s="49"/>
      <c r="L186" s="49"/>
      <c r="N186" s="40"/>
    </row>
    <row r="187" customFormat="false" ht="15.75" hidden="false" customHeight="false" outlineLevel="0" collapsed="false">
      <c r="J187" s="48"/>
      <c r="K187" s="49"/>
      <c r="L187" s="49"/>
      <c r="N187" s="40"/>
    </row>
    <row r="188" customFormat="false" ht="15.75" hidden="false" customHeight="false" outlineLevel="0" collapsed="false">
      <c r="J188" s="48"/>
      <c r="K188" s="49"/>
      <c r="L188" s="49"/>
      <c r="N188" s="40"/>
    </row>
    <row r="189" customFormat="false" ht="15.75" hidden="false" customHeight="false" outlineLevel="0" collapsed="false">
      <c r="J189" s="48"/>
      <c r="K189" s="49"/>
      <c r="L189" s="49"/>
      <c r="N189" s="40"/>
    </row>
    <row r="190" customFormat="false" ht="15.75" hidden="false" customHeight="false" outlineLevel="0" collapsed="false">
      <c r="J190" s="48"/>
      <c r="K190" s="49"/>
      <c r="L190" s="49"/>
      <c r="N190" s="40"/>
    </row>
    <row r="191" customFormat="false" ht="15.75" hidden="false" customHeight="false" outlineLevel="0" collapsed="false">
      <c r="J191" s="48"/>
      <c r="K191" s="49"/>
      <c r="L191" s="49"/>
      <c r="N191" s="40"/>
    </row>
    <row r="192" customFormat="false" ht="15.75" hidden="false" customHeight="false" outlineLevel="0" collapsed="false">
      <c r="J192" s="48"/>
      <c r="K192" s="49"/>
      <c r="L192" s="49"/>
      <c r="N192" s="40"/>
    </row>
    <row r="193" customFormat="false" ht="15.75" hidden="false" customHeight="false" outlineLevel="0" collapsed="false">
      <c r="J193" s="48"/>
      <c r="K193" s="49"/>
      <c r="L193" s="49"/>
      <c r="N193" s="40"/>
    </row>
    <row r="194" customFormat="false" ht="15.75" hidden="false" customHeight="false" outlineLevel="0" collapsed="false">
      <c r="J194" s="48"/>
      <c r="K194" s="49"/>
      <c r="L194" s="49"/>
      <c r="N194" s="40"/>
    </row>
    <row r="195" customFormat="false" ht="15.75" hidden="false" customHeight="false" outlineLevel="0" collapsed="false">
      <c r="J195" s="48"/>
      <c r="K195" s="49"/>
      <c r="L195" s="49"/>
      <c r="N195" s="40"/>
    </row>
    <row r="196" customFormat="false" ht="15.75" hidden="false" customHeight="false" outlineLevel="0" collapsed="false">
      <c r="J196" s="48"/>
      <c r="K196" s="49"/>
      <c r="L196" s="49"/>
      <c r="N196" s="40"/>
    </row>
    <row r="197" customFormat="false" ht="15.75" hidden="false" customHeight="false" outlineLevel="0" collapsed="false">
      <c r="J197" s="48"/>
      <c r="K197" s="49"/>
      <c r="L197" s="49"/>
      <c r="N197" s="40"/>
    </row>
    <row r="198" customFormat="false" ht="15.75" hidden="false" customHeight="false" outlineLevel="0" collapsed="false">
      <c r="J198" s="48"/>
      <c r="K198" s="49"/>
      <c r="L198" s="49"/>
      <c r="N198" s="40"/>
    </row>
    <row r="199" customFormat="false" ht="15.75" hidden="false" customHeight="false" outlineLevel="0" collapsed="false">
      <c r="J199" s="48"/>
      <c r="K199" s="49"/>
      <c r="L199" s="49"/>
      <c r="N199" s="40"/>
    </row>
    <row r="200" customFormat="false" ht="15.75" hidden="false" customHeight="false" outlineLevel="0" collapsed="false">
      <c r="J200" s="48"/>
      <c r="K200" s="49"/>
      <c r="L200" s="49"/>
      <c r="N200" s="40"/>
    </row>
    <row r="201" customFormat="false" ht="15.75" hidden="false" customHeight="false" outlineLevel="0" collapsed="false">
      <c r="J201" s="48"/>
      <c r="K201" s="49"/>
      <c r="L201" s="49"/>
      <c r="N201" s="40"/>
    </row>
    <row r="202" customFormat="false" ht="15.75" hidden="false" customHeight="false" outlineLevel="0" collapsed="false">
      <c r="J202" s="48"/>
      <c r="K202" s="49"/>
      <c r="L202" s="49"/>
      <c r="N202" s="40"/>
    </row>
    <row r="203" customFormat="false" ht="15.75" hidden="false" customHeight="false" outlineLevel="0" collapsed="false">
      <c r="J203" s="48"/>
      <c r="K203" s="49"/>
      <c r="L203" s="49"/>
      <c r="N203" s="40"/>
    </row>
    <row r="204" customFormat="false" ht="15.75" hidden="false" customHeight="false" outlineLevel="0" collapsed="false">
      <c r="J204" s="48"/>
      <c r="K204" s="49"/>
      <c r="L204" s="49"/>
      <c r="N204" s="40"/>
    </row>
    <row r="205" customFormat="false" ht="15.75" hidden="false" customHeight="false" outlineLevel="0" collapsed="false">
      <c r="J205" s="48"/>
      <c r="K205" s="49"/>
      <c r="L205" s="49"/>
      <c r="N205" s="40"/>
    </row>
    <row r="206" customFormat="false" ht="15.75" hidden="false" customHeight="false" outlineLevel="0" collapsed="false">
      <c r="J206" s="48"/>
      <c r="K206" s="49"/>
      <c r="L206" s="49"/>
      <c r="N206" s="40"/>
    </row>
    <row r="207" customFormat="false" ht="15.75" hidden="false" customHeight="false" outlineLevel="0" collapsed="false">
      <c r="J207" s="48"/>
      <c r="K207" s="49"/>
      <c r="L207" s="49"/>
      <c r="N207" s="40"/>
    </row>
    <row r="208" customFormat="false" ht="15.75" hidden="false" customHeight="false" outlineLevel="0" collapsed="false">
      <c r="J208" s="48"/>
      <c r="K208" s="49"/>
      <c r="L208" s="49"/>
      <c r="N208" s="40"/>
    </row>
    <row r="209" customFormat="false" ht="15.75" hidden="false" customHeight="false" outlineLevel="0" collapsed="false">
      <c r="J209" s="48"/>
      <c r="K209" s="49"/>
      <c r="L209" s="49"/>
      <c r="N209" s="40"/>
    </row>
    <row r="210" customFormat="false" ht="15.75" hidden="false" customHeight="false" outlineLevel="0" collapsed="false">
      <c r="J210" s="48"/>
      <c r="K210" s="49"/>
      <c r="L210" s="49"/>
      <c r="N210" s="40"/>
    </row>
    <row r="211" customFormat="false" ht="15.75" hidden="false" customHeight="false" outlineLevel="0" collapsed="false">
      <c r="J211" s="48"/>
      <c r="K211" s="49"/>
      <c r="L211" s="49"/>
      <c r="N211" s="40"/>
    </row>
    <row r="212" customFormat="false" ht="15.75" hidden="false" customHeight="false" outlineLevel="0" collapsed="false">
      <c r="J212" s="48"/>
      <c r="K212" s="49"/>
      <c r="L212" s="49"/>
      <c r="N212" s="40"/>
    </row>
    <row r="213" customFormat="false" ht="15.75" hidden="false" customHeight="false" outlineLevel="0" collapsed="false">
      <c r="J213" s="48"/>
      <c r="K213" s="49"/>
      <c r="L213" s="49"/>
      <c r="N213" s="40"/>
    </row>
    <row r="214" customFormat="false" ht="15.75" hidden="false" customHeight="false" outlineLevel="0" collapsed="false">
      <c r="J214" s="48"/>
      <c r="K214" s="49"/>
      <c r="L214" s="49"/>
      <c r="N214" s="40"/>
    </row>
    <row r="215" customFormat="false" ht="15.75" hidden="false" customHeight="false" outlineLevel="0" collapsed="false">
      <c r="J215" s="48"/>
      <c r="K215" s="49"/>
      <c r="L215" s="49"/>
      <c r="N215" s="40"/>
    </row>
    <row r="216" customFormat="false" ht="15.75" hidden="false" customHeight="false" outlineLevel="0" collapsed="false">
      <c r="J216" s="48"/>
      <c r="K216" s="49"/>
      <c r="L216" s="49"/>
      <c r="N216" s="40"/>
    </row>
    <row r="217" customFormat="false" ht="15.75" hidden="false" customHeight="false" outlineLevel="0" collapsed="false">
      <c r="J217" s="48"/>
      <c r="K217" s="49"/>
      <c r="L217" s="49"/>
      <c r="N217" s="40"/>
    </row>
    <row r="218" customFormat="false" ht="15.75" hidden="false" customHeight="false" outlineLevel="0" collapsed="false">
      <c r="J218" s="48"/>
      <c r="K218" s="49"/>
      <c r="L218" s="49"/>
      <c r="N218" s="40"/>
    </row>
    <row r="219" customFormat="false" ht="15.75" hidden="false" customHeight="false" outlineLevel="0" collapsed="false">
      <c r="J219" s="48"/>
      <c r="K219" s="49"/>
      <c r="L219" s="49"/>
      <c r="N219" s="40"/>
    </row>
    <row r="220" customFormat="false" ht="15.75" hidden="false" customHeight="false" outlineLevel="0" collapsed="false">
      <c r="J220" s="48"/>
      <c r="K220" s="49"/>
      <c r="L220" s="49"/>
      <c r="N220" s="40"/>
    </row>
    <row r="221" customFormat="false" ht="15.75" hidden="false" customHeight="false" outlineLevel="0" collapsed="false">
      <c r="J221" s="48"/>
      <c r="K221" s="49"/>
      <c r="L221" s="49"/>
      <c r="N221" s="40"/>
    </row>
    <row r="222" customFormat="false" ht="15.75" hidden="false" customHeight="false" outlineLevel="0" collapsed="false">
      <c r="J222" s="48"/>
      <c r="K222" s="49"/>
      <c r="L222" s="49"/>
      <c r="N222" s="40"/>
    </row>
    <row r="223" customFormat="false" ht="15.75" hidden="false" customHeight="false" outlineLevel="0" collapsed="false">
      <c r="J223" s="48"/>
      <c r="K223" s="49"/>
      <c r="L223" s="49"/>
      <c r="N223" s="40"/>
    </row>
    <row r="224" customFormat="false" ht="15.75" hidden="false" customHeight="false" outlineLevel="0" collapsed="false">
      <c r="J224" s="48"/>
      <c r="K224" s="49"/>
      <c r="L224" s="49"/>
      <c r="N224" s="40"/>
    </row>
    <row r="225" customFormat="false" ht="15.75" hidden="false" customHeight="false" outlineLevel="0" collapsed="false">
      <c r="J225" s="48"/>
      <c r="K225" s="49"/>
      <c r="L225" s="49"/>
      <c r="N225" s="40"/>
    </row>
    <row r="226" customFormat="false" ht="15.75" hidden="false" customHeight="false" outlineLevel="0" collapsed="false">
      <c r="J226" s="48"/>
      <c r="K226" s="49"/>
      <c r="L226" s="49"/>
      <c r="N226" s="40"/>
    </row>
    <row r="227" customFormat="false" ht="15.75" hidden="false" customHeight="false" outlineLevel="0" collapsed="false">
      <c r="J227" s="48"/>
      <c r="K227" s="49"/>
      <c r="L227" s="49"/>
      <c r="N227" s="40"/>
    </row>
    <row r="228" customFormat="false" ht="15.75" hidden="false" customHeight="false" outlineLevel="0" collapsed="false">
      <c r="J228" s="48"/>
      <c r="K228" s="49"/>
      <c r="L228" s="49"/>
      <c r="N228" s="40"/>
    </row>
    <row r="229" customFormat="false" ht="15.75" hidden="false" customHeight="false" outlineLevel="0" collapsed="false">
      <c r="J229" s="48"/>
      <c r="K229" s="49"/>
      <c r="L229" s="49"/>
      <c r="N229" s="40"/>
    </row>
    <row r="230" customFormat="false" ht="15.75" hidden="false" customHeight="false" outlineLevel="0" collapsed="false">
      <c r="J230" s="48"/>
      <c r="K230" s="49"/>
      <c r="L230" s="49"/>
      <c r="N230" s="40"/>
    </row>
    <row r="231" customFormat="false" ht="15.75" hidden="false" customHeight="false" outlineLevel="0" collapsed="false">
      <c r="J231" s="48"/>
      <c r="K231" s="49"/>
      <c r="L231" s="49"/>
      <c r="N231" s="40"/>
    </row>
    <row r="232" customFormat="false" ht="15.75" hidden="false" customHeight="false" outlineLevel="0" collapsed="false">
      <c r="J232" s="48"/>
      <c r="K232" s="49"/>
      <c r="L232" s="49"/>
      <c r="N232" s="40"/>
    </row>
    <row r="233" customFormat="false" ht="15.75" hidden="false" customHeight="false" outlineLevel="0" collapsed="false">
      <c r="J233" s="48"/>
      <c r="K233" s="49"/>
      <c r="L233" s="49"/>
      <c r="N233" s="40"/>
    </row>
    <row r="234" customFormat="false" ht="15.75" hidden="false" customHeight="false" outlineLevel="0" collapsed="false">
      <c r="J234" s="48"/>
      <c r="K234" s="49"/>
      <c r="L234" s="49"/>
      <c r="N234" s="40"/>
    </row>
    <row r="235" customFormat="false" ht="15.75" hidden="false" customHeight="false" outlineLevel="0" collapsed="false">
      <c r="J235" s="48"/>
      <c r="K235" s="49"/>
      <c r="L235" s="49"/>
      <c r="N235" s="40"/>
    </row>
    <row r="236" customFormat="false" ht="15.75" hidden="false" customHeight="false" outlineLevel="0" collapsed="false">
      <c r="J236" s="48"/>
      <c r="K236" s="49"/>
      <c r="L236" s="49"/>
      <c r="N236" s="40"/>
    </row>
    <row r="237" customFormat="false" ht="15.75" hidden="false" customHeight="false" outlineLevel="0" collapsed="false">
      <c r="J237" s="48"/>
      <c r="K237" s="49"/>
      <c r="L237" s="49"/>
      <c r="N237" s="40"/>
    </row>
    <row r="238" customFormat="false" ht="15.75" hidden="false" customHeight="false" outlineLevel="0" collapsed="false">
      <c r="J238" s="48"/>
      <c r="K238" s="49"/>
      <c r="L238" s="49"/>
      <c r="N238" s="40"/>
    </row>
    <row r="239" customFormat="false" ht="15.75" hidden="false" customHeight="false" outlineLevel="0" collapsed="false">
      <c r="J239" s="48"/>
      <c r="K239" s="49"/>
      <c r="L239" s="49"/>
      <c r="N239" s="40"/>
    </row>
    <row r="240" customFormat="false" ht="15.75" hidden="false" customHeight="false" outlineLevel="0" collapsed="false">
      <c r="J240" s="48"/>
      <c r="K240" s="49"/>
      <c r="L240" s="49"/>
      <c r="N240" s="40"/>
    </row>
    <row r="241" customFormat="false" ht="15.75" hidden="false" customHeight="false" outlineLevel="0" collapsed="false">
      <c r="J241" s="48"/>
      <c r="K241" s="49"/>
      <c r="L241" s="49"/>
      <c r="N241" s="40"/>
    </row>
    <row r="242" customFormat="false" ht="15.75" hidden="false" customHeight="false" outlineLevel="0" collapsed="false">
      <c r="J242" s="48"/>
      <c r="K242" s="49"/>
      <c r="L242" s="49"/>
      <c r="N242" s="40"/>
    </row>
    <row r="243" customFormat="false" ht="15.75" hidden="false" customHeight="false" outlineLevel="0" collapsed="false">
      <c r="J243" s="48"/>
      <c r="K243" s="49"/>
      <c r="L243" s="49"/>
      <c r="N243" s="40"/>
    </row>
    <row r="244" customFormat="false" ht="15.75" hidden="false" customHeight="false" outlineLevel="0" collapsed="false">
      <c r="J244" s="48"/>
      <c r="K244" s="49"/>
      <c r="L244" s="49"/>
      <c r="N244" s="40"/>
    </row>
    <row r="245" customFormat="false" ht="15.75" hidden="false" customHeight="false" outlineLevel="0" collapsed="false">
      <c r="J245" s="48"/>
      <c r="K245" s="49"/>
      <c r="L245" s="49"/>
      <c r="N245" s="40"/>
    </row>
    <row r="246" customFormat="false" ht="15.75" hidden="false" customHeight="false" outlineLevel="0" collapsed="false">
      <c r="J246" s="48"/>
      <c r="K246" s="49"/>
      <c r="L246" s="49"/>
      <c r="N246" s="40"/>
    </row>
    <row r="247" customFormat="false" ht="15.75" hidden="false" customHeight="false" outlineLevel="0" collapsed="false">
      <c r="J247" s="48"/>
      <c r="K247" s="49"/>
      <c r="L247" s="49"/>
      <c r="N247" s="40"/>
    </row>
    <row r="248" customFormat="false" ht="15.75" hidden="false" customHeight="false" outlineLevel="0" collapsed="false">
      <c r="J248" s="48"/>
      <c r="K248" s="49"/>
      <c r="L248" s="49"/>
      <c r="N248" s="40"/>
    </row>
    <row r="249" customFormat="false" ht="15.75" hidden="false" customHeight="false" outlineLevel="0" collapsed="false">
      <c r="J249" s="48"/>
      <c r="K249" s="49"/>
      <c r="L249" s="49"/>
      <c r="N249" s="40"/>
    </row>
    <row r="250" customFormat="false" ht="15.75" hidden="false" customHeight="false" outlineLevel="0" collapsed="false">
      <c r="J250" s="48"/>
      <c r="K250" s="49"/>
      <c r="L250" s="49"/>
      <c r="N250" s="40"/>
    </row>
    <row r="251" customFormat="false" ht="15.75" hidden="false" customHeight="false" outlineLevel="0" collapsed="false">
      <c r="J251" s="48"/>
      <c r="K251" s="49"/>
      <c r="L251" s="49"/>
      <c r="N251" s="40"/>
    </row>
    <row r="252" customFormat="false" ht="15.75" hidden="false" customHeight="false" outlineLevel="0" collapsed="false">
      <c r="J252" s="48"/>
      <c r="K252" s="49"/>
      <c r="L252" s="49"/>
      <c r="N252" s="40"/>
    </row>
    <row r="253" customFormat="false" ht="15.75" hidden="false" customHeight="false" outlineLevel="0" collapsed="false">
      <c r="J253" s="48"/>
      <c r="K253" s="49"/>
      <c r="L253" s="49"/>
      <c r="N253" s="40"/>
    </row>
    <row r="254" customFormat="false" ht="15.75" hidden="false" customHeight="false" outlineLevel="0" collapsed="false">
      <c r="J254" s="48"/>
      <c r="K254" s="49"/>
      <c r="L254" s="49"/>
      <c r="N254" s="40"/>
    </row>
    <row r="255" customFormat="false" ht="15.75" hidden="false" customHeight="false" outlineLevel="0" collapsed="false">
      <c r="J255" s="48"/>
      <c r="K255" s="49"/>
      <c r="L255" s="49"/>
      <c r="N255" s="40"/>
    </row>
    <row r="256" customFormat="false" ht="15.75" hidden="false" customHeight="false" outlineLevel="0" collapsed="false">
      <c r="J256" s="48"/>
      <c r="K256" s="49"/>
      <c r="L256" s="49"/>
      <c r="N256" s="40"/>
    </row>
    <row r="257" customFormat="false" ht="15.75" hidden="false" customHeight="false" outlineLevel="0" collapsed="false">
      <c r="J257" s="48"/>
      <c r="K257" s="49"/>
      <c r="L257" s="49"/>
      <c r="N257" s="40"/>
    </row>
    <row r="258" customFormat="false" ht="15.75" hidden="false" customHeight="false" outlineLevel="0" collapsed="false">
      <c r="J258" s="48"/>
      <c r="K258" s="49"/>
      <c r="L258" s="49"/>
      <c r="N258" s="40"/>
    </row>
    <row r="259" customFormat="false" ht="15.75" hidden="false" customHeight="false" outlineLevel="0" collapsed="false">
      <c r="J259" s="48"/>
      <c r="K259" s="49"/>
      <c r="L259" s="49"/>
      <c r="N259" s="40"/>
    </row>
    <row r="260" customFormat="false" ht="15.75" hidden="false" customHeight="false" outlineLevel="0" collapsed="false">
      <c r="J260" s="48"/>
      <c r="K260" s="49"/>
      <c r="L260" s="49"/>
      <c r="N260" s="40"/>
    </row>
    <row r="261" customFormat="false" ht="15.75" hidden="false" customHeight="false" outlineLevel="0" collapsed="false">
      <c r="J261" s="48"/>
      <c r="K261" s="49"/>
      <c r="L261" s="49"/>
      <c r="N261" s="40"/>
    </row>
    <row r="262" customFormat="false" ht="15.75" hidden="false" customHeight="false" outlineLevel="0" collapsed="false">
      <c r="J262" s="48"/>
      <c r="K262" s="49"/>
      <c r="L262" s="49"/>
      <c r="N262" s="40"/>
    </row>
    <row r="263" customFormat="false" ht="15.75" hidden="false" customHeight="false" outlineLevel="0" collapsed="false">
      <c r="J263" s="48"/>
      <c r="K263" s="49"/>
      <c r="L263" s="49"/>
      <c r="N263" s="40"/>
    </row>
    <row r="264" customFormat="false" ht="15.75" hidden="false" customHeight="false" outlineLevel="0" collapsed="false">
      <c r="J264" s="48"/>
      <c r="K264" s="49"/>
      <c r="L264" s="49"/>
      <c r="N264" s="40"/>
    </row>
    <row r="265" customFormat="false" ht="15.75" hidden="false" customHeight="false" outlineLevel="0" collapsed="false">
      <c r="J265" s="48"/>
      <c r="K265" s="49"/>
      <c r="L265" s="49"/>
      <c r="N265" s="40"/>
    </row>
    <row r="266" customFormat="false" ht="15.75" hidden="false" customHeight="false" outlineLevel="0" collapsed="false">
      <c r="J266" s="48"/>
      <c r="K266" s="49"/>
      <c r="L266" s="49"/>
      <c r="N266" s="40"/>
    </row>
    <row r="267" customFormat="false" ht="15.75" hidden="false" customHeight="false" outlineLevel="0" collapsed="false">
      <c r="J267" s="48"/>
      <c r="K267" s="49"/>
      <c r="L267" s="49"/>
      <c r="N267" s="40"/>
    </row>
    <row r="268" customFormat="false" ht="15.75" hidden="false" customHeight="false" outlineLevel="0" collapsed="false">
      <c r="J268" s="48"/>
      <c r="K268" s="49"/>
      <c r="L268" s="49"/>
      <c r="N268" s="40"/>
    </row>
    <row r="269" customFormat="false" ht="15.75" hidden="false" customHeight="false" outlineLevel="0" collapsed="false">
      <c r="J269" s="48"/>
      <c r="K269" s="49"/>
      <c r="L269" s="49"/>
      <c r="N269" s="40"/>
    </row>
    <row r="270" customFormat="false" ht="15.75" hidden="false" customHeight="false" outlineLevel="0" collapsed="false">
      <c r="J270" s="48"/>
      <c r="K270" s="49"/>
      <c r="L270" s="49"/>
      <c r="N270" s="40"/>
    </row>
    <row r="271" customFormat="false" ht="15.75" hidden="false" customHeight="false" outlineLevel="0" collapsed="false">
      <c r="J271" s="48"/>
      <c r="K271" s="49"/>
      <c r="L271" s="49"/>
      <c r="N271" s="40"/>
    </row>
    <row r="272" customFormat="false" ht="15.75" hidden="false" customHeight="false" outlineLevel="0" collapsed="false">
      <c r="J272" s="48"/>
      <c r="K272" s="49"/>
      <c r="L272" s="49"/>
      <c r="N272" s="40"/>
    </row>
    <row r="273" customFormat="false" ht="15.75" hidden="false" customHeight="false" outlineLevel="0" collapsed="false">
      <c r="J273" s="48"/>
      <c r="K273" s="49"/>
      <c r="L273" s="49"/>
      <c r="N273" s="40"/>
    </row>
    <row r="274" customFormat="false" ht="15.75" hidden="false" customHeight="false" outlineLevel="0" collapsed="false">
      <c r="J274" s="48"/>
      <c r="K274" s="49"/>
      <c r="L274" s="49"/>
      <c r="N274" s="40"/>
    </row>
    <row r="275" customFormat="false" ht="15.75" hidden="false" customHeight="false" outlineLevel="0" collapsed="false">
      <c r="J275" s="48"/>
      <c r="K275" s="49"/>
      <c r="L275" s="49"/>
      <c r="N275" s="40"/>
    </row>
    <row r="276" customFormat="false" ht="15.75" hidden="false" customHeight="false" outlineLevel="0" collapsed="false">
      <c r="J276" s="48"/>
      <c r="K276" s="49"/>
      <c r="L276" s="49"/>
      <c r="N276" s="40"/>
    </row>
    <row r="277" customFormat="false" ht="15.75" hidden="false" customHeight="false" outlineLevel="0" collapsed="false">
      <c r="J277" s="48"/>
      <c r="K277" s="49"/>
      <c r="L277" s="49"/>
      <c r="N277" s="40"/>
    </row>
    <row r="278" customFormat="false" ht="15.75" hidden="false" customHeight="false" outlineLevel="0" collapsed="false">
      <c r="J278" s="48"/>
      <c r="K278" s="49"/>
      <c r="L278" s="49"/>
      <c r="N278" s="40"/>
    </row>
    <row r="279" customFormat="false" ht="15.75" hidden="false" customHeight="false" outlineLevel="0" collapsed="false">
      <c r="J279" s="48"/>
      <c r="K279" s="49"/>
      <c r="L279" s="49"/>
      <c r="N279" s="40"/>
    </row>
    <row r="280" customFormat="false" ht="15.75" hidden="false" customHeight="false" outlineLevel="0" collapsed="false">
      <c r="J280" s="48"/>
      <c r="K280" s="49"/>
      <c r="L280" s="49"/>
      <c r="N280" s="40"/>
    </row>
    <row r="281" customFormat="false" ht="15.75" hidden="false" customHeight="false" outlineLevel="0" collapsed="false">
      <c r="J281" s="48"/>
      <c r="K281" s="49"/>
      <c r="L281" s="49"/>
      <c r="N281" s="40"/>
    </row>
    <row r="282" customFormat="false" ht="15.75" hidden="false" customHeight="false" outlineLevel="0" collapsed="false">
      <c r="J282" s="48"/>
      <c r="K282" s="49"/>
      <c r="L282" s="49"/>
      <c r="N282" s="40"/>
    </row>
    <row r="283" customFormat="false" ht="15.75" hidden="false" customHeight="false" outlineLevel="0" collapsed="false">
      <c r="J283" s="48"/>
      <c r="K283" s="49"/>
      <c r="L283" s="49"/>
      <c r="N283" s="40"/>
    </row>
    <row r="284" customFormat="false" ht="15.75" hidden="false" customHeight="false" outlineLevel="0" collapsed="false">
      <c r="J284" s="48"/>
      <c r="K284" s="49"/>
      <c r="L284" s="49"/>
      <c r="N284" s="40"/>
    </row>
    <row r="285" customFormat="false" ht="15.75" hidden="false" customHeight="false" outlineLevel="0" collapsed="false">
      <c r="J285" s="48"/>
      <c r="K285" s="49"/>
      <c r="L285" s="49"/>
      <c r="N285" s="40"/>
    </row>
    <row r="286" customFormat="false" ht="15.75" hidden="false" customHeight="false" outlineLevel="0" collapsed="false">
      <c r="J286" s="48"/>
      <c r="K286" s="49"/>
      <c r="L286" s="49"/>
      <c r="N286" s="40"/>
    </row>
    <row r="287" customFormat="false" ht="15.75" hidden="false" customHeight="false" outlineLevel="0" collapsed="false">
      <c r="J287" s="48"/>
      <c r="K287" s="49"/>
      <c r="L287" s="49"/>
      <c r="N287" s="40"/>
    </row>
    <row r="288" customFormat="false" ht="15.75" hidden="false" customHeight="false" outlineLevel="0" collapsed="false">
      <c r="J288" s="48"/>
      <c r="K288" s="49"/>
      <c r="L288" s="49"/>
      <c r="N288" s="40"/>
    </row>
    <row r="289" customFormat="false" ht="15.75" hidden="false" customHeight="false" outlineLevel="0" collapsed="false">
      <c r="J289" s="48"/>
      <c r="K289" s="49"/>
      <c r="L289" s="49"/>
      <c r="N289" s="40"/>
    </row>
    <row r="290" customFormat="false" ht="15.75" hidden="false" customHeight="false" outlineLevel="0" collapsed="false">
      <c r="J290" s="48"/>
      <c r="K290" s="49"/>
      <c r="L290" s="49"/>
      <c r="N290" s="40"/>
    </row>
    <row r="291" customFormat="false" ht="15.75" hidden="false" customHeight="false" outlineLevel="0" collapsed="false">
      <c r="J291" s="48"/>
      <c r="K291" s="49"/>
      <c r="L291" s="49"/>
      <c r="N291" s="40"/>
    </row>
    <row r="292" customFormat="false" ht="15.75" hidden="false" customHeight="false" outlineLevel="0" collapsed="false">
      <c r="J292" s="48"/>
      <c r="K292" s="49"/>
      <c r="L292" s="49"/>
      <c r="N292" s="40"/>
    </row>
    <row r="293" customFormat="false" ht="15.75" hidden="false" customHeight="false" outlineLevel="0" collapsed="false">
      <c r="J293" s="48"/>
      <c r="K293" s="49"/>
      <c r="L293" s="49"/>
      <c r="N293" s="40"/>
    </row>
    <row r="294" customFormat="false" ht="15.75" hidden="false" customHeight="false" outlineLevel="0" collapsed="false">
      <c r="J294" s="48"/>
      <c r="K294" s="49"/>
      <c r="L294" s="49"/>
      <c r="N294" s="40"/>
    </row>
    <row r="295" customFormat="false" ht="15.75" hidden="false" customHeight="false" outlineLevel="0" collapsed="false">
      <c r="J295" s="48"/>
      <c r="K295" s="49"/>
      <c r="L295" s="49"/>
      <c r="N295" s="40"/>
    </row>
    <row r="296" customFormat="false" ht="15.75" hidden="false" customHeight="false" outlineLevel="0" collapsed="false">
      <c r="J296" s="48"/>
      <c r="K296" s="49"/>
      <c r="L296" s="49"/>
      <c r="N296" s="40"/>
    </row>
    <row r="297" customFormat="false" ht="15.75" hidden="false" customHeight="false" outlineLevel="0" collapsed="false">
      <c r="J297" s="48"/>
      <c r="K297" s="49"/>
      <c r="L297" s="49"/>
      <c r="N297" s="40"/>
    </row>
    <row r="298" customFormat="false" ht="15.75" hidden="false" customHeight="false" outlineLevel="0" collapsed="false">
      <c r="J298" s="48"/>
      <c r="K298" s="49"/>
      <c r="L298" s="49"/>
      <c r="N298" s="40"/>
    </row>
    <row r="299" customFormat="false" ht="15.75" hidden="false" customHeight="false" outlineLevel="0" collapsed="false">
      <c r="J299" s="48"/>
      <c r="K299" s="49"/>
      <c r="L299" s="49"/>
      <c r="N299" s="40"/>
    </row>
    <row r="300" customFormat="false" ht="15.75" hidden="false" customHeight="false" outlineLevel="0" collapsed="false">
      <c r="J300" s="48"/>
      <c r="K300" s="49"/>
      <c r="L300" s="49"/>
      <c r="N300" s="40"/>
    </row>
    <row r="301" customFormat="false" ht="15.75" hidden="false" customHeight="false" outlineLevel="0" collapsed="false">
      <c r="J301" s="48"/>
      <c r="K301" s="49"/>
      <c r="L301" s="49"/>
      <c r="N301" s="40"/>
    </row>
    <row r="302" customFormat="false" ht="15.75" hidden="false" customHeight="false" outlineLevel="0" collapsed="false">
      <c r="J302" s="48"/>
      <c r="K302" s="49"/>
      <c r="L302" s="49"/>
      <c r="N302" s="40"/>
    </row>
    <row r="303" customFormat="false" ht="15.75" hidden="false" customHeight="false" outlineLevel="0" collapsed="false">
      <c r="J303" s="48"/>
      <c r="K303" s="49"/>
      <c r="L303" s="49"/>
      <c r="N303" s="40"/>
    </row>
    <row r="304" customFormat="false" ht="15.75" hidden="false" customHeight="false" outlineLevel="0" collapsed="false">
      <c r="J304" s="48"/>
      <c r="K304" s="49"/>
      <c r="L304" s="49"/>
      <c r="N304" s="40"/>
    </row>
    <row r="305" customFormat="false" ht="15.75" hidden="false" customHeight="false" outlineLevel="0" collapsed="false">
      <c r="J305" s="48"/>
      <c r="K305" s="49"/>
      <c r="L305" s="49"/>
      <c r="N305" s="40"/>
    </row>
    <row r="306" customFormat="false" ht="15.75" hidden="false" customHeight="false" outlineLevel="0" collapsed="false">
      <c r="J306" s="48"/>
      <c r="K306" s="49"/>
      <c r="L306" s="49"/>
      <c r="N306" s="40"/>
    </row>
    <row r="307" customFormat="false" ht="15.75" hidden="false" customHeight="false" outlineLevel="0" collapsed="false">
      <c r="J307" s="48"/>
      <c r="K307" s="49"/>
      <c r="L307" s="49"/>
      <c r="N307" s="40"/>
    </row>
    <row r="308" customFormat="false" ht="15.75" hidden="false" customHeight="false" outlineLevel="0" collapsed="false">
      <c r="J308" s="48"/>
      <c r="K308" s="49"/>
      <c r="L308" s="49"/>
      <c r="N308" s="40"/>
    </row>
    <row r="309" customFormat="false" ht="15.75" hidden="false" customHeight="false" outlineLevel="0" collapsed="false">
      <c r="J309" s="48"/>
      <c r="K309" s="49"/>
      <c r="L309" s="49"/>
      <c r="N309" s="40"/>
    </row>
    <row r="310" customFormat="false" ht="15.75" hidden="false" customHeight="false" outlineLevel="0" collapsed="false">
      <c r="J310" s="48"/>
      <c r="K310" s="49"/>
      <c r="L310" s="49"/>
      <c r="N310" s="40"/>
    </row>
    <row r="311" customFormat="false" ht="15.75" hidden="false" customHeight="false" outlineLevel="0" collapsed="false">
      <c r="J311" s="48"/>
      <c r="K311" s="49"/>
      <c r="L311" s="49"/>
      <c r="N311" s="40"/>
    </row>
    <row r="312" customFormat="false" ht="15.75" hidden="false" customHeight="false" outlineLevel="0" collapsed="false">
      <c r="J312" s="48"/>
      <c r="K312" s="49"/>
      <c r="L312" s="49"/>
      <c r="N312" s="40"/>
    </row>
    <row r="313" customFormat="false" ht="15.75" hidden="false" customHeight="false" outlineLevel="0" collapsed="false">
      <c r="J313" s="48"/>
      <c r="K313" s="49"/>
      <c r="L313" s="49"/>
      <c r="N313" s="40"/>
    </row>
    <row r="314" customFormat="false" ht="15.75" hidden="false" customHeight="false" outlineLevel="0" collapsed="false">
      <c r="J314" s="48"/>
      <c r="K314" s="49"/>
      <c r="L314" s="49"/>
      <c r="N314" s="40"/>
    </row>
    <row r="315" customFormat="false" ht="15.75" hidden="false" customHeight="false" outlineLevel="0" collapsed="false">
      <c r="J315" s="48"/>
      <c r="K315" s="49"/>
      <c r="L315" s="49"/>
      <c r="N315" s="40"/>
    </row>
    <row r="316" customFormat="false" ht="15.75" hidden="false" customHeight="false" outlineLevel="0" collapsed="false">
      <c r="J316" s="48"/>
      <c r="K316" s="49"/>
      <c r="L316" s="49"/>
      <c r="N316" s="40"/>
    </row>
    <row r="317" customFormat="false" ht="15.75" hidden="false" customHeight="false" outlineLevel="0" collapsed="false">
      <c r="J317" s="48"/>
      <c r="K317" s="49"/>
      <c r="L317" s="49"/>
      <c r="N317" s="40"/>
    </row>
    <row r="318" customFormat="false" ht="15.75" hidden="false" customHeight="false" outlineLevel="0" collapsed="false">
      <c r="J318" s="48"/>
      <c r="K318" s="49"/>
      <c r="L318" s="49"/>
      <c r="N318" s="40"/>
    </row>
    <row r="319" customFormat="false" ht="15.75" hidden="false" customHeight="false" outlineLevel="0" collapsed="false">
      <c r="J319" s="48"/>
      <c r="K319" s="49"/>
      <c r="L319" s="49"/>
      <c r="N319" s="40"/>
    </row>
    <row r="320" customFormat="false" ht="15.75" hidden="false" customHeight="false" outlineLevel="0" collapsed="false">
      <c r="J320" s="48"/>
      <c r="K320" s="49"/>
      <c r="L320" s="49"/>
      <c r="N320" s="40"/>
    </row>
    <row r="321" customFormat="false" ht="15.75" hidden="false" customHeight="false" outlineLevel="0" collapsed="false">
      <c r="J321" s="48"/>
      <c r="K321" s="49"/>
      <c r="L321" s="49"/>
      <c r="N321" s="40"/>
    </row>
    <row r="322" customFormat="false" ht="15.75" hidden="false" customHeight="false" outlineLevel="0" collapsed="false">
      <c r="J322" s="48"/>
      <c r="K322" s="49"/>
      <c r="L322" s="49"/>
      <c r="N322" s="40"/>
    </row>
    <row r="323" customFormat="false" ht="15.75" hidden="false" customHeight="false" outlineLevel="0" collapsed="false">
      <c r="J323" s="48"/>
      <c r="K323" s="49"/>
      <c r="L323" s="49"/>
      <c r="N323" s="40"/>
    </row>
    <row r="324" customFormat="false" ht="15.75" hidden="false" customHeight="false" outlineLevel="0" collapsed="false">
      <c r="J324" s="48"/>
      <c r="K324" s="49"/>
      <c r="L324" s="49"/>
      <c r="N324" s="40"/>
    </row>
    <row r="325" customFormat="false" ht="15.75" hidden="false" customHeight="false" outlineLevel="0" collapsed="false">
      <c r="J325" s="48"/>
      <c r="K325" s="49"/>
      <c r="L325" s="49"/>
      <c r="N325" s="40"/>
    </row>
    <row r="326" customFormat="false" ht="15.75" hidden="false" customHeight="false" outlineLevel="0" collapsed="false">
      <c r="J326" s="48"/>
      <c r="K326" s="49"/>
      <c r="L326" s="49"/>
      <c r="N326" s="40"/>
    </row>
    <row r="327" customFormat="false" ht="15.75" hidden="false" customHeight="false" outlineLevel="0" collapsed="false">
      <c r="J327" s="48"/>
      <c r="K327" s="49"/>
      <c r="L327" s="49"/>
      <c r="N327" s="40"/>
    </row>
    <row r="328" customFormat="false" ht="15.75" hidden="false" customHeight="false" outlineLevel="0" collapsed="false">
      <c r="J328" s="48"/>
      <c r="K328" s="49"/>
      <c r="L328" s="49"/>
      <c r="N328" s="40"/>
    </row>
    <row r="329" customFormat="false" ht="15.75" hidden="false" customHeight="false" outlineLevel="0" collapsed="false">
      <c r="J329" s="48"/>
      <c r="K329" s="49"/>
      <c r="L329" s="49"/>
      <c r="N329" s="40"/>
    </row>
    <row r="330" customFormat="false" ht="15.75" hidden="false" customHeight="false" outlineLevel="0" collapsed="false">
      <c r="J330" s="48"/>
      <c r="K330" s="49"/>
      <c r="L330" s="49"/>
      <c r="N330" s="40"/>
    </row>
    <row r="331" customFormat="false" ht="15.75" hidden="false" customHeight="false" outlineLevel="0" collapsed="false">
      <c r="J331" s="48"/>
      <c r="K331" s="49"/>
      <c r="L331" s="49"/>
      <c r="N331" s="40"/>
    </row>
    <row r="332" customFormat="false" ht="15.75" hidden="false" customHeight="false" outlineLevel="0" collapsed="false">
      <c r="J332" s="48"/>
      <c r="K332" s="49"/>
      <c r="L332" s="49"/>
      <c r="N332" s="40"/>
    </row>
    <row r="333" customFormat="false" ht="15.75" hidden="false" customHeight="false" outlineLevel="0" collapsed="false">
      <c r="J333" s="48"/>
      <c r="K333" s="49"/>
      <c r="L333" s="49"/>
      <c r="N333" s="40"/>
    </row>
    <row r="334" customFormat="false" ht="15.75" hidden="false" customHeight="false" outlineLevel="0" collapsed="false">
      <c r="J334" s="48"/>
      <c r="K334" s="49"/>
      <c r="L334" s="49"/>
      <c r="N334" s="40"/>
    </row>
    <row r="335" customFormat="false" ht="15.75" hidden="false" customHeight="false" outlineLevel="0" collapsed="false">
      <c r="J335" s="48"/>
      <c r="K335" s="49"/>
      <c r="L335" s="49"/>
      <c r="N335" s="40"/>
    </row>
    <row r="336" customFormat="false" ht="15.75" hidden="false" customHeight="false" outlineLevel="0" collapsed="false">
      <c r="J336" s="48"/>
      <c r="K336" s="49"/>
      <c r="L336" s="49"/>
      <c r="N336" s="40"/>
    </row>
    <row r="337" customFormat="false" ht="15.75" hidden="false" customHeight="false" outlineLevel="0" collapsed="false">
      <c r="J337" s="48"/>
      <c r="K337" s="49"/>
      <c r="L337" s="49"/>
      <c r="N337" s="40"/>
    </row>
    <row r="338" customFormat="false" ht="15.75" hidden="false" customHeight="false" outlineLevel="0" collapsed="false">
      <c r="J338" s="48"/>
      <c r="K338" s="49"/>
      <c r="L338" s="49"/>
      <c r="N338" s="40"/>
    </row>
    <row r="339" customFormat="false" ht="15.75" hidden="false" customHeight="false" outlineLevel="0" collapsed="false">
      <c r="J339" s="48"/>
      <c r="K339" s="49"/>
      <c r="L339" s="49"/>
      <c r="N339" s="40"/>
    </row>
    <row r="340" customFormat="false" ht="15.75" hidden="false" customHeight="false" outlineLevel="0" collapsed="false">
      <c r="J340" s="48"/>
      <c r="K340" s="49"/>
      <c r="L340" s="49"/>
      <c r="N340" s="40"/>
    </row>
    <row r="341" customFormat="false" ht="15.75" hidden="false" customHeight="false" outlineLevel="0" collapsed="false">
      <c r="J341" s="48"/>
      <c r="K341" s="49"/>
      <c r="L341" s="49"/>
      <c r="N341" s="40"/>
    </row>
    <row r="342" customFormat="false" ht="15.75" hidden="false" customHeight="false" outlineLevel="0" collapsed="false">
      <c r="J342" s="48"/>
      <c r="K342" s="49"/>
      <c r="L342" s="49"/>
      <c r="N342" s="40"/>
    </row>
    <row r="343" customFormat="false" ht="15.75" hidden="false" customHeight="false" outlineLevel="0" collapsed="false">
      <c r="J343" s="48"/>
      <c r="K343" s="49"/>
      <c r="L343" s="49"/>
      <c r="N343" s="40"/>
    </row>
    <row r="344" customFormat="false" ht="15.75" hidden="false" customHeight="false" outlineLevel="0" collapsed="false">
      <c r="J344" s="48"/>
      <c r="K344" s="49"/>
      <c r="L344" s="49"/>
      <c r="N344" s="40"/>
    </row>
    <row r="345" customFormat="false" ht="15.75" hidden="false" customHeight="false" outlineLevel="0" collapsed="false">
      <c r="J345" s="48"/>
      <c r="K345" s="49"/>
      <c r="L345" s="49"/>
      <c r="N345" s="40"/>
    </row>
    <row r="346" customFormat="false" ht="15.75" hidden="false" customHeight="false" outlineLevel="0" collapsed="false">
      <c r="J346" s="48"/>
      <c r="K346" s="49"/>
      <c r="L346" s="49"/>
      <c r="N346" s="40"/>
    </row>
    <row r="347" customFormat="false" ht="15.75" hidden="false" customHeight="false" outlineLevel="0" collapsed="false">
      <c r="J347" s="48"/>
      <c r="K347" s="49"/>
      <c r="L347" s="49"/>
      <c r="N347" s="40"/>
    </row>
    <row r="348" customFormat="false" ht="15.75" hidden="false" customHeight="false" outlineLevel="0" collapsed="false">
      <c r="J348" s="48"/>
      <c r="K348" s="49"/>
      <c r="L348" s="49"/>
      <c r="N348" s="40"/>
    </row>
    <row r="349" customFormat="false" ht="15.75" hidden="false" customHeight="false" outlineLevel="0" collapsed="false">
      <c r="J349" s="48"/>
      <c r="K349" s="49"/>
      <c r="L349" s="49"/>
      <c r="N349" s="40"/>
    </row>
    <row r="350" customFormat="false" ht="15.75" hidden="false" customHeight="false" outlineLevel="0" collapsed="false">
      <c r="J350" s="48"/>
      <c r="K350" s="49"/>
      <c r="L350" s="49"/>
      <c r="N350" s="40"/>
    </row>
    <row r="351" customFormat="false" ht="15.75" hidden="false" customHeight="false" outlineLevel="0" collapsed="false">
      <c r="J351" s="48"/>
      <c r="K351" s="49"/>
      <c r="L351" s="49"/>
      <c r="N351" s="40"/>
    </row>
    <row r="352" customFormat="false" ht="15.75" hidden="false" customHeight="false" outlineLevel="0" collapsed="false">
      <c r="J352" s="48"/>
      <c r="K352" s="49"/>
      <c r="L352" s="49"/>
      <c r="N352" s="40"/>
    </row>
    <row r="353" customFormat="false" ht="15.75" hidden="false" customHeight="false" outlineLevel="0" collapsed="false">
      <c r="J353" s="48"/>
      <c r="K353" s="49"/>
      <c r="L353" s="49"/>
      <c r="N353" s="40"/>
    </row>
    <row r="354" customFormat="false" ht="15.75" hidden="false" customHeight="false" outlineLevel="0" collapsed="false">
      <c r="J354" s="48"/>
      <c r="K354" s="49"/>
      <c r="L354" s="49"/>
      <c r="N354" s="40"/>
    </row>
    <row r="355" customFormat="false" ht="15.75" hidden="false" customHeight="false" outlineLevel="0" collapsed="false">
      <c r="J355" s="48"/>
      <c r="K355" s="49"/>
      <c r="L355" s="49"/>
      <c r="N355" s="40"/>
    </row>
    <row r="356" customFormat="false" ht="15.75" hidden="false" customHeight="false" outlineLevel="0" collapsed="false">
      <c r="J356" s="48"/>
      <c r="K356" s="49"/>
      <c r="L356" s="49"/>
      <c r="N356" s="40"/>
    </row>
    <row r="357" customFormat="false" ht="15.75" hidden="false" customHeight="false" outlineLevel="0" collapsed="false">
      <c r="J357" s="48"/>
      <c r="K357" s="49"/>
      <c r="L357" s="49"/>
      <c r="N357" s="40"/>
    </row>
    <row r="358" customFormat="false" ht="15.75" hidden="false" customHeight="false" outlineLevel="0" collapsed="false">
      <c r="J358" s="48"/>
      <c r="K358" s="49"/>
      <c r="L358" s="49"/>
      <c r="N358" s="40"/>
    </row>
    <row r="359" customFormat="false" ht="15.75" hidden="false" customHeight="false" outlineLevel="0" collapsed="false">
      <c r="J359" s="48"/>
      <c r="K359" s="49"/>
      <c r="L359" s="49"/>
      <c r="N359" s="40"/>
    </row>
    <row r="360" customFormat="false" ht="15.75" hidden="false" customHeight="false" outlineLevel="0" collapsed="false">
      <c r="J360" s="48"/>
      <c r="K360" s="49"/>
      <c r="L360" s="49"/>
      <c r="N360" s="40"/>
    </row>
    <row r="361" customFormat="false" ht="15.75" hidden="false" customHeight="false" outlineLevel="0" collapsed="false">
      <c r="J361" s="48"/>
      <c r="K361" s="49"/>
      <c r="L361" s="49"/>
      <c r="N361" s="40"/>
    </row>
    <row r="362" customFormat="false" ht="15.75" hidden="false" customHeight="false" outlineLevel="0" collapsed="false">
      <c r="J362" s="48"/>
      <c r="K362" s="49"/>
      <c r="L362" s="49"/>
      <c r="N362" s="40"/>
    </row>
    <row r="363" customFormat="false" ht="15.75" hidden="false" customHeight="false" outlineLevel="0" collapsed="false">
      <c r="J363" s="48"/>
      <c r="K363" s="49"/>
      <c r="L363" s="49"/>
      <c r="N363" s="40"/>
    </row>
    <row r="364" customFormat="false" ht="15.75" hidden="false" customHeight="false" outlineLevel="0" collapsed="false">
      <c r="J364" s="48"/>
      <c r="K364" s="49"/>
      <c r="L364" s="49"/>
      <c r="N364" s="40"/>
    </row>
    <row r="365" customFormat="false" ht="15.75" hidden="false" customHeight="false" outlineLevel="0" collapsed="false">
      <c r="J365" s="48"/>
      <c r="K365" s="49"/>
      <c r="L365" s="49"/>
      <c r="N365" s="40"/>
    </row>
    <row r="366" customFormat="false" ht="15.75" hidden="false" customHeight="false" outlineLevel="0" collapsed="false">
      <c r="J366" s="48"/>
      <c r="K366" s="49"/>
      <c r="L366" s="49"/>
      <c r="N366" s="40"/>
    </row>
    <row r="367" customFormat="false" ht="15.75" hidden="false" customHeight="false" outlineLevel="0" collapsed="false">
      <c r="J367" s="48"/>
      <c r="K367" s="49"/>
      <c r="L367" s="49"/>
      <c r="N367" s="40"/>
    </row>
    <row r="368" customFormat="false" ht="15.75" hidden="false" customHeight="false" outlineLevel="0" collapsed="false">
      <c r="J368" s="48"/>
      <c r="K368" s="49"/>
      <c r="L368" s="49"/>
      <c r="N368" s="40"/>
    </row>
    <row r="369" customFormat="false" ht="15.75" hidden="false" customHeight="false" outlineLevel="0" collapsed="false">
      <c r="J369" s="48"/>
      <c r="K369" s="49"/>
      <c r="L369" s="49"/>
      <c r="N369" s="40"/>
    </row>
    <row r="370" customFormat="false" ht="15.75" hidden="false" customHeight="false" outlineLevel="0" collapsed="false">
      <c r="J370" s="48"/>
      <c r="K370" s="49"/>
      <c r="L370" s="49"/>
      <c r="N370" s="40"/>
    </row>
    <row r="371" customFormat="false" ht="15.75" hidden="false" customHeight="false" outlineLevel="0" collapsed="false">
      <c r="J371" s="48"/>
      <c r="K371" s="49"/>
      <c r="L371" s="49"/>
      <c r="N371" s="40"/>
    </row>
    <row r="372" customFormat="false" ht="15.75" hidden="false" customHeight="false" outlineLevel="0" collapsed="false">
      <c r="J372" s="48"/>
      <c r="K372" s="49"/>
      <c r="L372" s="49"/>
      <c r="N372" s="40"/>
    </row>
    <row r="373" customFormat="false" ht="15.75" hidden="false" customHeight="false" outlineLevel="0" collapsed="false">
      <c r="J373" s="48"/>
      <c r="K373" s="49"/>
      <c r="L373" s="49"/>
      <c r="N373" s="40"/>
    </row>
    <row r="374" customFormat="false" ht="15.75" hidden="false" customHeight="false" outlineLevel="0" collapsed="false">
      <c r="J374" s="48"/>
      <c r="K374" s="49"/>
      <c r="L374" s="49"/>
      <c r="N374" s="40"/>
    </row>
    <row r="375" customFormat="false" ht="15.75" hidden="false" customHeight="false" outlineLevel="0" collapsed="false">
      <c r="J375" s="48"/>
      <c r="K375" s="49"/>
      <c r="L375" s="49"/>
      <c r="N375" s="40"/>
    </row>
    <row r="376" customFormat="false" ht="15.75" hidden="false" customHeight="false" outlineLevel="0" collapsed="false">
      <c r="J376" s="48"/>
      <c r="K376" s="49"/>
      <c r="L376" s="49"/>
      <c r="N376" s="40"/>
    </row>
    <row r="377" customFormat="false" ht="15.75" hidden="false" customHeight="false" outlineLevel="0" collapsed="false">
      <c r="J377" s="48"/>
      <c r="K377" s="49"/>
      <c r="L377" s="49"/>
      <c r="N377" s="40"/>
    </row>
    <row r="378" customFormat="false" ht="15.75" hidden="false" customHeight="false" outlineLevel="0" collapsed="false">
      <c r="J378" s="48"/>
      <c r="K378" s="49"/>
      <c r="L378" s="49"/>
      <c r="N378" s="40"/>
    </row>
    <row r="379" customFormat="false" ht="15.75" hidden="false" customHeight="false" outlineLevel="0" collapsed="false">
      <c r="J379" s="48"/>
      <c r="K379" s="49"/>
      <c r="L379" s="49"/>
      <c r="N379" s="40"/>
    </row>
    <row r="380" customFormat="false" ht="15.75" hidden="false" customHeight="false" outlineLevel="0" collapsed="false">
      <c r="J380" s="48"/>
      <c r="K380" s="49"/>
      <c r="L380" s="49"/>
      <c r="N380" s="40"/>
    </row>
    <row r="381" customFormat="false" ht="15.75" hidden="false" customHeight="false" outlineLevel="0" collapsed="false">
      <c r="J381" s="48"/>
      <c r="K381" s="49"/>
      <c r="L381" s="49"/>
      <c r="N381" s="40"/>
    </row>
    <row r="382" customFormat="false" ht="15.75" hidden="false" customHeight="false" outlineLevel="0" collapsed="false">
      <c r="J382" s="48"/>
      <c r="K382" s="49"/>
      <c r="L382" s="49"/>
      <c r="N382" s="40"/>
    </row>
    <row r="383" customFormat="false" ht="15.75" hidden="false" customHeight="false" outlineLevel="0" collapsed="false">
      <c r="J383" s="48"/>
      <c r="K383" s="49"/>
      <c r="L383" s="49"/>
      <c r="N383" s="40"/>
    </row>
    <row r="384" customFormat="false" ht="15.75" hidden="false" customHeight="false" outlineLevel="0" collapsed="false">
      <c r="J384" s="48"/>
      <c r="K384" s="49"/>
      <c r="L384" s="49"/>
      <c r="N384" s="40"/>
    </row>
    <row r="385" customFormat="false" ht="15.75" hidden="false" customHeight="false" outlineLevel="0" collapsed="false">
      <c r="J385" s="48"/>
      <c r="K385" s="49"/>
      <c r="L385" s="49"/>
      <c r="N385" s="40"/>
    </row>
    <row r="386" customFormat="false" ht="15.75" hidden="false" customHeight="false" outlineLevel="0" collapsed="false">
      <c r="J386" s="48"/>
      <c r="K386" s="49"/>
      <c r="L386" s="49"/>
      <c r="N386" s="40"/>
    </row>
    <row r="387" customFormat="false" ht="15.75" hidden="false" customHeight="false" outlineLevel="0" collapsed="false">
      <c r="J387" s="48"/>
      <c r="K387" s="49"/>
      <c r="L387" s="49"/>
      <c r="N387" s="40"/>
    </row>
    <row r="388" customFormat="false" ht="15.75" hidden="false" customHeight="false" outlineLevel="0" collapsed="false">
      <c r="J388" s="48"/>
      <c r="K388" s="49"/>
      <c r="L388" s="49"/>
      <c r="N388" s="40"/>
    </row>
    <row r="389" customFormat="false" ht="15.75" hidden="false" customHeight="false" outlineLevel="0" collapsed="false">
      <c r="J389" s="48"/>
      <c r="K389" s="49"/>
      <c r="L389" s="49"/>
      <c r="N389" s="40"/>
    </row>
    <row r="390" customFormat="false" ht="15.75" hidden="false" customHeight="false" outlineLevel="0" collapsed="false">
      <c r="J390" s="48"/>
      <c r="K390" s="49"/>
      <c r="L390" s="49"/>
      <c r="N390" s="40"/>
    </row>
    <row r="391" customFormat="false" ht="15.75" hidden="false" customHeight="false" outlineLevel="0" collapsed="false">
      <c r="J391" s="48"/>
      <c r="K391" s="49"/>
      <c r="L391" s="49"/>
      <c r="N391" s="40"/>
    </row>
    <row r="392" customFormat="false" ht="15.75" hidden="false" customHeight="false" outlineLevel="0" collapsed="false">
      <c r="J392" s="48"/>
      <c r="K392" s="49"/>
      <c r="L392" s="49"/>
      <c r="N392" s="40"/>
    </row>
    <row r="393" customFormat="false" ht="15.75" hidden="false" customHeight="false" outlineLevel="0" collapsed="false">
      <c r="J393" s="48"/>
      <c r="K393" s="49"/>
      <c r="L393" s="49"/>
      <c r="N393" s="40"/>
    </row>
    <row r="394" customFormat="false" ht="15.75" hidden="false" customHeight="false" outlineLevel="0" collapsed="false">
      <c r="J394" s="48"/>
      <c r="K394" s="49"/>
      <c r="L394" s="49"/>
      <c r="N394" s="40"/>
    </row>
    <row r="395" customFormat="false" ht="15.75" hidden="false" customHeight="false" outlineLevel="0" collapsed="false">
      <c r="J395" s="48"/>
      <c r="K395" s="49"/>
      <c r="L395" s="49"/>
      <c r="N395" s="40"/>
    </row>
    <row r="396" customFormat="false" ht="15.75" hidden="false" customHeight="false" outlineLevel="0" collapsed="false">
      <c r="J396" s="48"/>
      <c r="K396" s="49"/>
      <c r="L396" s="49"/>
      <c r="N396" s="40"/>
    </row>
    <row r="397" customFormat="false" ht="15.75" hidden="false" customHeight="false" outlineLevel="0" collapsed="false">
      <c r="J397" s="48"/>
      <c r="K397" s="49"/>
      <c r="L397" s="49"/>
      <c r="N397" s="40"/>
    </row>
    <row r="398" customFormat="false" ht="15.75" hidden="false" customHeight="false" outlineLevel="0" collapsed="false">
      <c r="J398" s="48"/>
      <c r="K398" s="49"/>
      <c r="L398" s="49"/>
      <c r="N398" s="40"/>
    </row>
    <row r="399" customFormat="false" ht="15.75" hidden="false" customHeight="false" outlineLevel="0" collapsed="false">
      <c r="J399" s="48"/>
      <c r="K399" s="49"/>
      <c r="L399" s="49"/>
      <c r="N399" s="40"/>
    </row>
    <row r="400" customFormat="false" ht="15.75" hidden="false" customHeight="false" outlineLevel="0" collapsed="false">
      <c r="J400" s="48"/>
      <c r="K400" s="49"/>
      <c r="L400" s="49"/>
      <c r="N400" s="40"/>
    </row>
    <row r="401" customFormat="false" ht="15.75" hidden="false" customHeight="false" outlineLevel="0" collapsed="false">
      <c r="J401" s="48"/>
      <c r="K401" s="49"/>
      <c r="L401" s="49"/>
      <c r="N401" s="40"/>
    </row>
    <row r="402" customFormat="false" ht="15.75" hidden="false" customHeight="false" outlineLevel="0" collapsed="false">
      <c r="J402" s="48"/>
      <c r="K402" s="49"/>
      <c r="L402" s="49"/>
      <c r="N402" s="40"/>
    </row>
    <row r="403" customFormat="false" ht="15.75" hidden="false" customHeight="false" outlineLevel="0" collapsed="false">
      <c r="J403" s="48"/>
      <c r="K403" s="49"/>
      <c r="L403" s="49"/>
      <c r="N403" s="40"/>
    </row>
    <row r="404" customFormat="false" ht="15.75" hidden="false" customHeight="false" outlineLevel="0" collapsed="false">
      <c r="J404" s="48"/>
      <c r="K404" s="49"/>
      <c r="L404" s="49"/>
      <c r="N404" s="40"/>
    </row>
    <row r="405" customFormat="false" ht="15.75" hidden="false" customHeight="false" outlineLevel="0" collapsed="false">
      <c r="J405" s="48"/>
      <c r="K405" s="49"/>
      <c r="L405" s="49"/>
      <c r="N405" s="40"/>
    </row>
    <row r="406" customFormat="false" ht="15.75" hidden="false" customHeight="false" outlineLevel="0" collapsed="false">
      <c r="J406" s="48"/>
      <c r="K406" s="49"/>
      <c r="L406" s="49"/>
      <c r="N406" s="40"/>
    </row>
    <row r="407" customFormat="false" ht="15.75" hidden="false" customHeight="false" outlineLevel="0" collapsed="false">
      <c r="J407" s="48"/>
      <c r="K407" s="49"/>
      <c r="L407" s="49"/>
      <c r="N407" s="40"/>
    </row>
    <row r="408" customFormat="false" ht="15.75" hidden="false" customHeight="false" outlineLevel="0" collapsed="false">
      <c r="J408" s="48"/>
      <c r="K408" s="49"/>
      <c r="L408" s="49"/>
      <c r="N408" s="40"/>
    </row>
    <row r="409" customFormat="false" ht="15.75" hidden="false" customHeight="false" outlineLevel="0" collapsed="false">
      <c r="J409" s="48"/>
      <c r="K409" s="49"/>
      <c r="L409" s="49"/>
      <c r="N409" s="40"/>
    </row>
    <row r="410" customFormat="false" ht="15.75" hidden="false" customHeight="false" outlineLevel="0" collapsed="false">
      <c r="J410" s="48"/>
      <c r="K410" s="49"/>
      <c r="L410" s="49"/>
      <c r="N410" s="40"/>
    </row>
    <row r="411" customFormat="false" ht="15.75" hidden="false" customHeight="false" outlineLevel="0" collapsed="false">
      <c r="J411" s="48"/>
      <c r="K411" s="49"/>
      <c r="L411" s="49"/>
      <c r="N411" s="40"/>
    </row>
    <row r="412" customFormat="false" ht="15.75" hidden="false" customHeight="false" outlineLevel="0" collapsed="false">
      <c r="J412" s="48"/>
      <c r="K412" s="49"/>
      <c r="L412" s="49"/>
      <c r="N412" s="40"/>
    </row>
    <row r="413" customFormat="false" ht="15.75" hidden="false" customHeight="false" outlineLevel="0" collapsed="false">
      <c r="J413" s="48"/>
      <c r="K413" s="49"/>
      <c r="L413" s="49"/>
      <c r="N413" s="40"/>
    </row>
    <row r="414" customFormat="false" ht="15.75" hidden="false" customHeight="false" outlineLevel="0" collapsed="false">
      <c r="J414" s="48"/>
      <c r="K414" s="49"/>
      <c r="L414" s="49"/>
      <c r="N414" s="40"/>
    </row>
    <row r="415" customFormat="false" ht="15.75" hidden="false" customHeight="false" outlineLevel="0" collapsed="false">
      <c r="J415" s="48"/>
      <c r="K415" s="49"/>
      <c r="L415" s="49"/>
      <c r="N415" s="40"/>
    </row>
    <row r="416" customFormat="false" ht="15.75" hidden="false" customHeight="false" outlineLevel="0" collapsed="false">
      <c r="J416" s="48"/>
      <c r="K416" s="49"/>
      <c r="L416" s="49"/>
      <c r="N416" s="40"/>
    </row>
    <row r="417" customFormat="false" ht="15.75" hidden="false" customHeight="false" outlineLevel="0" collapsed="false">
      <c r="J417" s="48"/>
      <c r="K417" s="49"/>
      <c r="L417" s="49"/>
      <c r="N417" s="40"/>
    </row>
    <row r="418" customFormat="false" ht="15.75" hidden="false" customHeight="false" outlineLevel="0" collapsed="false">
      <c r="J418" s="48"/>
      <c r="K418" s="49"/>
      <c r="L418" s="49"/>
      <c r="N418" s="40"/>
    </row>
    <row r="419" customFormat="false" ht="15.75" hidden="false" customHeight="false" outlineLevel="0" collapsed="false">
      <c r="J419" s="48"/>
      <c r="K419" s="49"/>
      <c r="L419" s="49"/>
      <c r="N419" s="40"/>
    </row>
    <row r="420" customFormat="false" ht="15.75" hidden="false" customHeight="false" outlineLevel="0" collapsed="false">
      <c r="J420" s="48"/>
      <c r="K420" s="49"/>
      <c r="L420" s="49"/>
      <c r="N420" s="40"/>
    </row>
    <row r="421" customFormat="false" ht="15.75" hidden="false" customHeight="false" outlineLevel="0" collapsed="false">
      <c r="J421" s="48"/>
      <c r="K421" s="49"/>
      <c r="L421" s="49"/>
      <c r="N421" s="40"/>
    </row>
    <row r="422" customFormat="false" ht="15.75" hidden="false" customHeight="false" outlineLevel="0" collapsed="false">
      <c r="J422" s="48"/>
      <c r="K422" s="49"/>
      <c r="L422" s="49"/>
      <c r="N422" s="40"/>
    </row>
    <row r="423" customFormat="false" ht="15.75" hidden="false" customHeight="false" outlineLevel="0" collapsed="false">
      <c r="J423" s="48"/>
      <c r="K423" s="49"/>
      <c r="L423" s="49"/>
      <c r="N423" s="40"/>
    </row>
    <row r="424" customFormat="false" ht="15.75" hidden="false" customHeight="false" outlineLevel="0" collapsed="false">
      <c r="J424" s="48"/>
      <c r="K424" s="49"/>
      <c r="L424" s="49"/>
      <c r="N424" s="40"/>
    </row>
    <row r="425" customFormat="false" ht="15.75" hidden="false" customHeight="false" outlineLevel="0" collapsed="false">
      <c r="J425" s="48"/>
      <c r="K425" s="49"/>
      <c r="L425" s="49"/>
      <c r="N425" s="40"/>
    </row>
    <row r="426" customFormat="false" ht="15.75" hidden="false" customHeight="false" outlineLevel="0" collapsed="false">
      <c r="J426" s="48"/>
      <c r="K426" s="49"/>
      <c r="L426" s="49"/>
      <c r="N426" s="40"/>
    </row>
    <row r="427" customFormat="false" ht="15.75" hidden="false" customHeight="false" outlineLevel="0" collapsed="false">
      <c r="J427" s="48"/>
      <c r="K427" s="49"/>
      <c r="L427" s="49"/>
      <c r="N427" s="40"/>
    </row>
    <row r="428" customFormat="false" ht="15.75" hidden="false" customHeight="false" outlineLevel="0" collapsed="false">
      <c r="J428" s="48"/>
      <c r="K428" s="49"/>
      <c r="L428" s="49"/>
      <c r="N428" s="40"/>
    </row>
    <row r="429" customFormat="false" ht="15.75" hidden="false" customHeight="false" outlineLevel="0" collapsed="false">
      <c r="J429" s="48"/>
      <c r="K429" s="49"/>
      <c r="L429" s="49"/>
      <c r="N429" s="40"/>
    </row>
    <row r="430" customFormat="false" ht="15.75" hidden="false" customHeight="false" outlineLevel="0" collapsed="false">
      <c r="J430" s="48"/>
      <c r="K430" s="49"/>
      <c r="L430" s="49"/>
      <c r="N430" s="40"/>
    </row>
    <row r="431" customFormat="false" ht="15.75" hidden="false" customHeight="false" outlineLevel="0" collapsed="false">
      <c r="J431" s="48"/>
      <c r="K431" s="49"/>
      <c r="L431" s="49"/>
      <c r="N431" s="40"/>
    </row>
    <row r="432" customFormat="false" ht="15.75" hidden="false" customHeight="false" outlineLevel="0" collapsed="false">
      <c r="J432" s="48"/>
      <c r="K432" s="49"/>
      <c r="L432" s="49"/>
      <c r="N432" s="40"/>
    </row>
    <row r="433" customFormat="false" ht="15.75" hidden="false" customHeight="false" outlineLevel="0" collapsed="false">
      <c r="J433" s="48"/>
      <c r="K433" s="49"/>
      <c r="L433" s="49"/>
      <c r="N433" s="40"/>
    </row>
    <row r="434" customFormat="false" ht="15.75" hidden="false" customHeight="false" outlineLevel="0" collapsed="false">
      <c r="J434" s="48"/>
      <c r="K434" s="49"/>
      <c r="L434" s="49"/>
      <c r="N434" s="40"/>
    </row>
    <row r="435" customFormat="false" ht="15.75" hidden="false" customHeight="false" outlineLevel="0" collapsed="false">
      <c r="J435" s="48"/>
      <c r="K435" s="49"/>
      <c r="L435" s="49"/>
      <c r="N435" s="40"/>
    </row>
    <row r="436" customFormat="false" ht="15.75" hidden="false" customHeight="false" outlineLevel="0" collapsed="false">
      <c r="J436" s="48"/>
      <c r="K436" s="49"/>
      <c r="L436" s="49"/>
      <c r="N436" s="40"/>
    </row>
    <row r="437" customFormat="false" ht="15.75" hidden="false" customHeight="false" outlineLevel="0" collapsed="false">
      <c r="J437" s="48"/>
      <c r="K437" s="49"/>
      <c r="L437" s="49"/>
      <c r="N437" s="40"/>
    </row>
    <row r="438" customFormat="false" ht="15.75" hidden="false" customHeight="false" outlineLevel="0" collapsed="false">
      <c r="J438" s="48"/>
      <c r="K438" s="49"/>
      <c r="L438" s="49"/>
      <c r="N438" s="40"/>
    </row>
    <row r="439" customFormat="false" ht="15.75" hidden="false" customHeight="false" outlineLevel="0" collapsed="false">
      <c r="J439" s="48"/>
      <c r="K439" s="49"/>
      <c r="L439" s="49"/>
      <c r="N439" s="40"/>
    </row>
    <row r="440" customFormat="false" ht="15.75" hidden="false" customHeight="false" outlineLevel="0" collapsed="false">
      <c r="J440" s="48"/>
      <c r="K440" s="49"/>
      <c r="L440" s="49"/>
      <c r="N440" s="40"/>
    </row>
    <row r="441" customFormat="false" ht="15.75" hidden="false" customHeight="false" outlineLevel="0" collapsed="false">
      <c r="J441" s="48"/>
      <c r="K441" s="49"/>
      <c r="L441" s="49"/>
      <c r="N441" s="40"/>
    </row>
    <row r="442" customFormat="false" ht="15.75" hidden="false" customHeight="false" outlineLevel="0" collapsed="false">
      <c r="J442" s="48"/>
      <c r="K442" s="49"/>
      <c r="L442" s="49"/>
      <c r="N442" s="40"/>
    </row>
    <row r="443" customFormat="false" ht="15.75" hidden="false" customHeight="false" outlineLevel="0" collapsed="false">
      <c r="J443" s="48"/>
      <c r="K443" s="49"/>
      <c r="L443" s="49"/>
      <c r="N443" s="40"/>
    </row>
    <row r="444" customFormat="false" ht="15.75" hidden="false" customHeight="false" outlineLevel="0" collapsed="false">
      <c r="J444" s="48"/>
      <c r="K444" s="49"/>
      <c r="L444" s="49"/>
      <c r="N444" s="40"/>
    </row>
    <row r="445" customFormat="false" ht="15.75" hidden="false" customHeight="false" outlineLevel="0" collapsed="false">
      <c r="J445" s="48"/>
      <c r="K445" s="49"/>
      <c r="L445" s="49"/>
      <c r="N445" s="40"/>
    </row>
    <row r="446" customFormat="false" ht="15.75" hidden="false" customHeight="false" outlineLevel="0" collapsed="false">
      <c r="J446" s="48"/>
      <c r="K446" s="49"/>
      <c r="L446" s="49"/>
      <c r="N446" s="40"/>
    </row>
    <row r="447" customFormat="false" ht="15.75" hidden="false" customHeight="false" outlineLevel="0" collapsed="false">
      <c r="J447" s="48"/>
      <c r="K447" s="49"/>
      <c r="L447" s="49"/>
      <c r="N447" s="40"/>
    </row>
    <row r="448" customFormat="false" ht="15.75" hidden="false" customHeight="false" outlineLevel="0" collapsed="false">
      <c r="J448" s="48"/>
      <c r="K448" s="49"/>
      <c r="L448" s="49"/>
      <c r="N448" s="40"/>
    </row>
    <row r="449" customFormat="false" ht="15.75" hidden="false" customHeight="false" outlineLevel="0" collapsed="false">
      <c r="J449" s="48"/>
      <c r="K449" s="49"/>
      <c r="L449" s="49"/>
      <c r="N449" s="40"/>
    </row>
    <row r="450" customFormat="false" ht="15.75" hidden="false" customHeight="false" outlineLevel="0" collapsed="false">
      <c r="J450" s="48"/>
      <c r="K450" s="49"/>
      <c r="L450" s="49"/>
      <c r="N450" s="40"/>
    </row>
    <row r="451" customFormat="false" ht="15.75" hidden="false" customHeight="false" outlineLevel="0" collapsed="false">
      <c r="J451" s="48"/>
      <c r="K451" s="49"/>
      <c r="L451" s="49"/>
      <c r="N451" s="40"/>
    </row>
    <row r="452" customFormat="false" ht="15.75" hidden="false" customHeight="false" outlineLevel="0" collapsed="false">
      <c r="J452" s="48"/>
      <c r="K452" s="49"/>
      <c r="L452" s="49"/>
      <c r="N452" s="40"/>
    </row>
    <row r="453" customFormat="false" ht="15.75" hidden="false" customHeight="false" outlineLevel="0" collapsed="false">
      <c r="J453" s="48"/>
      <c r="K453" s="49"/>
      <c r="L453" s="49"/>
      <c r="N453" s="40"/>
    </row>
    <row r="454" customFormat="false" ht="15.75" hidden="false" customHeight="false" outlineLevel="0" collapsed="false">
      <c r="J454" s="48"/>
      <c r="K454" s="49"/>
      <c r="L454" s="49"/>
      <c r="N454" s="40"/>
    </row>
    <row r="455" customFormat="false" ht="15.75" hidden="false" customHeight="false" outlineLevel="0" collapsed="false">
      <c r="J455" s="48"/>
      <c r="K455" s="49"/>
      <c r="L455" s="49"/>
      <c r="N455" s="40"/>
    </row>
    <row r="456" customFormat="false" ht="15.75" hidden="false" customHeight="false" outlineLevel="0" collapsed="false">
      <c r="J456" s="48"/>
      <c r="K456" s="49"/>
      <c r="L456" s="49"/>
      <c r="N456" s="40"/>
    </row>
    <row r="457" customFormat="false" ht="15.75" hidden="false" customHeight="false" outlineLevel="0" collapsed="false">
      <c r="J457" s="48"/>
      <c r="K457" s="49"/>
      <c r="L457" s="49"/>
      <c r="N457" s="40"/>
    </row>
    <row r="458" customFormat="false" ht="15.75" hidden="false" customHeight="false" outlineLevel="0" collapsed="false">
      <c r="J458" s="48"/>
      <c r="K458" s="49"/>
      <c r="L458" s="49"/>
      <c r="N458" s="40"/>
    </row>
    <row r="459" customFormat="false" ht="15.75" hidden="false" customHeight="false" outlineLevel="0" collapsed="false">
      <c r="J459" s="48"/>
      <c r="K459" s="49"/>
      <c r="L459" s="49"/>
      <c r="N459" s="40"/>
    </row>
    <row r="460" customFormat="false" ht="15.75" hidden="false" customHeight="false" outlineLevel="0" collapsed="false">
      <c r="J460" s="48"/>
      <c r="K460" s="49"/>
      <c r="L460" s="49"/>
      <c r="N460" s="40"/>
    </row>
    <row r="461" customFormat="false" ht="15.75" hidden="false" customHeight="false" outlineLevel="0" collapsed="false">
      <c r="J461" s="48"/>
      <c r="K461" s="49"/>
      <c r="L461" s="49"/>
      <c r="N461" s="40"/>
    </row>
    <row r="462" customFormat="false" ht="15.75" hidden="false" customHeight="false" outlineLevel="0" collapsed="false">
      <c r="J462" s="48"/>
      <c r="K462" s="49"/>
      <c r="L462" s="49"/>
      <c r="N462" s="40"/>
    </row>
    <row r="463" customFormat="false" ht="15.75" hidden="false" customHeight="false" outlineLevel="0" collapsed="false">
      <c r="J463" s="48"/>
      <c r="K463" s="49"/>
      <c r="L463" s="49"/>
      <c r="N463" s="40"/>
    </row>
    <row r="464" customFormat="false" ht="15.75" hidden="false" customHeight="false" outlineLevel="0" collapsed="false">
      <c r="J464" s="48"/>
      <c r="K464" s="49"/>
      <c r="L464" s="49"/>
      <c r="N464" s="40"/>
    </row>
    <row r="465" customFormat="false" ht="15.75" hidden="false" customHeight="false" outlineLevel="0" collapsed="false">
      <c r="J465" s="48"/>
      <c r="K465" s="49"/>
      <c r="L465" s="49"/>
      <c r="N465" s="40"/>
    </row>
    <row r="466" customFormat="false" ht="15.75" hidden="false" customHeight="false" outlineLevel="0" collapsed="false">
      <c r="J466" s="48"/>
      <c r="K466" s="49"/>
      <c r="L466" s="49"/>
      <c r="N466" s="40"/>
    </row>
    <row r="467" customFormat="false" ht="15.75" hidden="false" customHeight="false" outlineLevel="0" collapsed="false">
      <c r="J467" s="48"/>
      <c r="K467" s="49"/>
      <c r="L467" s="49"/>
      <c r="N467" s="40"/>
    </row>
    <row r="468" customFormat="false" ht="15.75" hidden="false" customHeight="false" outlineLevel="0" collapsed="false">
      <c r="J468" s="48"/>
      <c r="K468" s="49"/>
      <c r="L468" s="49"/>
      <c r="N468" s="40"/>
    </row>
    <row r="469" customFormat="false" ht="15.75" hidden="false" customHeight="false" outlineLevel="0" collapsed="false">
      <c r="J469" s="48"/>
      <c r="K469" s="49"/>
      <c r="L469" s="49"/>
      <c r="N469" s="40"/>
    </row>
    <row r="470" customFormat="false" ht="15.75" hidden="false" customHeight="false" outlineLevel="0" collapsed="false">
      <c r="J470" s="48"/>
      <c r="K470" s="49"/>
      <c r="L470" s="49"/>
      <c r="N470" s="40"/>
    </row>
    <row r="471" customFormat="false" ht="15.75" hidden="false" customHeight="false" outlineLevel="0" collapsed="false">
      <c r="J471" s="48"/>
      <c r="K471" s="49"/>
      <c r="L471" s="49"/>
      <c r="N471" s="40"/>
    </row>
    <row r="472" customFormat="false" ht="15.75" hidden="false" customHeight="false" outlineLevel="0" collapsed="false">
      <c r="J472" s="48"/>
      <c r="K472" s="49"/>
      <c r="L472" s="49"/>
      <c r="N472" s="40"/>
    </row>
    <row r="473" customFormat="false" ht="15.75" hidden="false" customHeight="false" outlineLevel="0" collapsed="false">
      <c r="J473" s="48"/>
      <c r="K473" s="49"/>
      <c r="L473" s="49"/>
      <c r="N473" s="40"/>
    </row>
    <row r="474" customFormat="false" ht="15.75" hidden="false" customHeight="false" outlineLevel="0" collapsed="false">
      <c r="J474" s="48"/>
      <c r="K474" s="49"/>
      <c r="L474" s="49"/>
      <c r="N474" s="40"/>
    </row>
    <row r="475" customFormat="false" ht="15.75" hidden="false" customHeight="false" outlineLevel="0" collapsed="false">
      <c r="J475" s="48"/>
      <c r="K475" s="49"/>
      <c r="L475" s="49"/>
      <c r="N475" s="40"/>
    </row>
    <row r="476" customFormat="false" ht="15.75" hidden="false" customHeight="false" outlineLevel="0" collapsed="false">
      <c r="J476" s="48"/>
      <c r="K476" s="49"/>
      <c r="L476" s="49"/>
      <c r="N476" s="40"/>
    </row>
    <row r="477" customFormat="false" ht="15.75" hidden="false" customHeight="false" outlineLevel="0" collapsed="false">
      <c r="J477" s="48"/>
      <c r="K477" s="49"/>
      <c r="L477" s="49"/>
      <c r="N477" s="40"/>
    </row>
    <row r="478" customFormat="false" ht="15.75" hidden="false" customHeight="false" outlineLevel="0" collapsed="false">
      <c r="J478" s="48"/>
      <c r="K478" s="49"/>
      <c r="L478" s="49"/>
      <c r="N478" s="40"/>
    </row>
    <row r="479" customFormat="false" ht="15.75" hidden="false" customHeight="false" outlineLevel="0" collapsed="false">
      <c r="J479" s="48"/>
      <c r="K479" s="49"/>
      <c r="L479" s="49"/>
      <c r="N479" s="40"/>
    </row>
    <row r="480" customFormat="false" ht="15.75" hidden="false" customHeight="false" outlineLevel="0" collapsed="false">
      <c r="J480" s="48"/>
      <c r="K480" s="49"/>
      <c r="L480" s="49"/>
      <c r="N480" s="40"/>
    </row>
    <row r="481" customFormat="false" ht="15.75" hidden="false" customHeight="false" outlineLevel="0" collapsed="false">
      <c r="J481" s="48"/>
      <c r="K481" s="49"/>
      <c r="L481" s="49"/>
      <c r="N481" s="40"/>
    </row>
    <row r="482" customFormat="false" ht="15.75" hidden="false" customHeight="false" outlineLevel="0" collapsed="false">
      <c r="J482" s="48"/>
      <c r="K482" s="49"/>
      <c r="L482" s="49"/>
      <c r="N482" s="40"/>
    </row>
    <row r="483" customFormat="false" ht="15.75" hidden="false" customHeight="false" outlineLevel="0" collapsed="false">
      <c r="J483" s="48"/>
      <c r="K483" s="49"/>
      <c r="L483" s="49"/>
      <c r="N483" s="40"/>
    </row>
    <row r="484" customFormat="false" ht="15.75" hidden="false" customHeight="false" outlineLevel="0" collapsed="false">
      <c r="J484" s="48"/>
      <c r="K484" s="49"/>
      <c r="L484" s="49"/>
      <c r="N484" s="40"/>
    </row>
    <row r="485" customFormat="false" ht="15.75" hidden="false" customHeight="false" outlineLevel="0" collapsed="false">
      <c r="J485" s="48"/>
      <c r="K485" s="49"/>
      <c r="L485" s="49"/>
      <c r="N485" s="40"/>
    </row>
    <row r="486" customFormat="false" ht="15.75" hidden="false" customHeight="false" outlineLevel="0" collapsed="false">
      <c r="J486" s="48"/>
      <c r="K486" s="49"/>
      <c r="L486" s="49"/>
      <c r="N486" s="40"/>
    </row>
    <row r="487" customFormat="false" ht="15.75" hidden="false" customHeight="false" outlineLevel="0" collapsed="false">
      <c r="J487" s="48"/>
      <c r="K487" s="49"/>
      <c r="L487" s="49"/>
      <c r="N487" s="40"/>
    </row>
    <row r="488" customFormat="false" ht="15.75" hidden="false" customHeight="false" outlineLevel="0" collapsed="false">
      <c r="J488" s="48"/>
      <c r="K488" s="49"/>
      <c r="L488" s="49"/>
      <c r="N488" s="40"/>
    </row>
    <row r="489" customFormat="false" ht="15.75" hidden="false" customHeight="false" outlineLevel="0" collapsed="false">
      <c r="J489" s="48"/>
      <c r="K489" s="49"/>
      <c r="L489" s="49"/>
      <c r="N489" s="40"/>
    </row>
    <row r="490" customFormat="false" ht="15.75" hidden="false" customHeight="false" outlineLevel="0" collapsed="false">
      <c r="J490" s="48"/>
      <c r="K490" s="49"/>
      <c r="L490" s="49"/>
      <c r="N490" s="40"/>
    </row>
    <row r="491" customFormat="false" ht="15.75" hidden="false" customHeight="false" outlineLevel="0" collapsed="false">
      <c r="J491" s="48"/>
      <c r="K491" s="49"/>
      <c r="L491" s="49"/>
      <c r="N491" s="40"/>
    </row>
    <row r="492" customFormat="false" ht="15.75" hidden="false" customHeight="false" outlineLevel="0" collapsed="false">
      <c r="J492" s="48"/>
      <c r="K492" s="49"/>
      <c r="L492" s="49"/>
      <c r="N492" s="40"/>
    </row>
    <row r="493" customFormat="false" ht="15.75" hidden="false" customHeight="false" outlineLevel="0" collapsed="false">
      <c r="J493" s="48"/>
      <c r="K493" s="49"/>
      <c r="L493" s="49"/>
      <c r="N493" s="40"/>
    </row>
    <row r="494" customFormat="false" ht="15.75" hidden="false" customHeight="false" outlineLevel="0" collapsed="false">
      <c r="J494" s="48"/>
      <c r="K494" s="49"/>
      <c r="L494" s="49"/>
      <c r="N494" s="40"/>
    </row>
    <row r="495" customFormat="false" ht="15.75" hidden="false" customHeight="false" outlineLevel="0" collapsed="false">
      <c r="J495" s="48"/>
      <c r="K495" s="49"/>
      <c r="L495" s="49"/>
      <c r="N495" s="40"/>
    </row>
    <row r="496" customFormat="false" ht="15.75" hidden="false" customHeight="false" outlineLevel="0" collapsed="false">
      <c r="J496" s="48"/>
      <c r="K496" s="49"/>
      <c r="L496" s="49"/>
      <c r="N496" s="40"/>
    </row>
    <row r="497" customFormat="false" ht="15.75" hidden="false" customHeight="false" outlineLevel="0" collapsed="false">
      <c r="J497" s="48"/>
      <c r="K497" s="49"/>
      <c r="L497" s="49"/>
      <c r="N497" s="40"/>
    </row>
    <row r="498" customFormat="false" ht="15.75" hidden="false" customHeight="false" outlineLevel="0" collapsed="false">
      <c r="J498" s="48"/>
      <c r="K498" s="49"/>
      <c r="L498" s="49"/>
      <c r="N498" s="40"/>
    </row>
    <row r="499" customFormat="false" ht="15.75" hidden="false" customHeight="false" outlineLevel="0" collapsed="false">
      <c r="J499" s="48"/>
      <c r="K499" s="49"/>
      <c r="L499" s="49"/>
      <c r="N499" s="40"/>
    </row>
    <row r="500" customFormat="false" ht="15.75" hidden="false" customHeight="false" outlineLevel="0" collapsed="false">
      <c r="J500" s="48"/>
      <c r="K500" s="49"/>
      <c r="L500" s="49"/>
      <c r="N500" s="40"/>
    </row>
    <row r="501" customFormat="false" ht="15.75" hidden="false" customHeight="false" outlineLevel="0" collapsed="false">
      <c r="J501" s="48"/>
      <c r="K501" s="49"/>
      <c r="L501" s="49"/>
      <c r="N501" s="40"/>
    </row>
    <row r="502" customFormat="false" ht="15.75" hidden="false" customHeight="false" outlineLevel="0" collapsed="false">
      <c r="J502" s="48"/>
      <c r="K502" s="49"/>
      <c r="L502" s="49"/>
      <c r="N502" s="40"/>
    </row>
    <row r="503" customFormat="false" ht="15.75" hidden="false" customHeight="false" outlineLevel="0" collapsed="false">
      <c r="J503" s="48"/>
      <c r="K503" s="49"/>
      <c r="L503" s="49"/>
      <c r="N503" s="40"/>
    </row>
    <row r="504" customFormat="false" ht="15.75" hidden="false" customHeight="false" outlineLevel="0" collapsed="false">
      <c r="J504" s="48"/>
      <c r="K504" s="49"/>
      <c r="L504" s="49"/>
      <c r="N504" s="40"/>
    </row>
    <row r="505" customFormat="false" ht="15.75" hidden="false" customHeight="false" outlineLevel="0" collapsed="false">
      <c r="J505" s="48"/>
      <c r="K505" s="49"/>
      <c r="L505" s="49"/>
      <c r="N505" s="40"/>
    </row>
    <row r="506" customFormat="false" ht="15.75" hidden="false" customHeight="false" outlineLevel="0" collapsed="false">
      <c r="J506" s="48"/>
      <c r="K506" s="49"/>
      <c r="L506" s="49"/>
      <c r="N506" s="40"/>
    </row>
    <row r="507" customFormat="false" ht="15.75" hidden="false" customHeight="false" outlineLevel="0" collapsed="false">
      <c r="J507" s="48"/>
      <c r="K507" s="49"/>
      <c r="L507" s="49"/>
      <c r="N507" s="40"/>
    </row>
    <row r="508" customFormat="false" ht="15.75" hidden="false" customHeight="false" outlineLevel="0" collapsed="false">
      <c r="J508" s="48"/>
      <c r="K508" s="49"/>
      <c r="L508" s="49"/>
      <c r="N508" s="40"/>
    </row>
    <row r="509" customFormat="false" ht="15.75" hidden="false" customHeight="false" outlineLevel="0" collapsed="false">
      <c r="J509" s="48"/>
      <c r="K509" s="49"/>
      <c r="L509" s="49"/>
      <c r="N509" s="40"/>
    </row>
    <row r="510" customFormat="false" ht="15.75" hidden="false" customHeight="false" outlineLevel="0" collapsed="false">
      <c r="J510" s="48"/>
      <c r="K510" s="49"/>
      <c r="L510" s="49"/>
      <c r="N510" s="40"/>
    </row>
    <row r="511" customFormat="false" ht="15.75" hidden="false" customHeight="false" outlineLevel="0" collapsed="false">
      <c r="J511" s="48"/>
      <c r="K511" s="49"/>
      <c r="L511" s="49"/>
      <c r="N511" s="40"/>
    </row>
    <row r="512" customFormat="false" ht="15.75" hidden="false" customHeight="false" outlineLevel="0" collapsed="false">
      <c r="J512" s="48"/>
      <c r="K512" s="49"/>
      <c r="L512" s="49"/>
      <c r="N512" s="40"/>
    </row>
    <row r="513" customFormat="false" ht="15.75" hidden="false" customHeight="false" outlineLevel="0" collapsed="false">
      <c r="J513" s="48"/>
      <c r="K513" s="49"/>
      <c r="L513" s="49"/>
      <c r="N513" s="40"/>
    </row>
    <row r="514" customFormat="false" ht="15.75" hidden="false" customHeight="false" outlineLevel="0" collapsed="false">
      <c r="J514" s="48"/>
      <c r="K514" s="49"/>
      <c r="L514" s="49"/>
      <c r="N514" s="40"/>
    </row>
    <row r="515" customFormat="false" ht="15.75" hidden="false" customHeight="false" outlineLevel="0" collapsed="false">
      <c r="J515" s="48"/>
      <c r="K515" s="49"/>
      <c r="L515" s="49"/>
      <c r="N515" s="40"/>
    </row>
    <row r="516" customFormat="false" ht="15.75" hidden="false" customHeight="false" outlineLevel="0" collapsed="false">
      <c r="J516" s="48"/>
      <c r="K516" s="49"/>
      <c r="L516" s="49"/>
      <c r="N516" s="40"/>
    </row>
    <row r="517" customFormat="false" ht="15.75" hidden="false" customHeight="false" outlineLevel="0" collapsed="false">
      <c r="J517" s="48"/>
      <c r="K517" s="49"/>
      <c r="L517" s="49"/>
      <c r="N517" s="40"/>
    </row>
    <row r="518" customFormat="false" ht="15.75" hidden="false" customHeight="false" outlineLevel="0" collapsed="false">
      <c r="J518" s="48"/>
      <c r="K518" s="49"/>
      <c r="L518" s="49"/>
      <c r="N518" s="40"/>
    </row>
    <row r="519" customFormat="false" ht="15.75" hidden="false" customHeight="false" outlineLevel="0" collapsed="false">
      <c r="J519" s="48"/>
      <c r="K519" s="49"/>
      <c r="L519" s="49"/>
      <c r="N519" s="40"/>
    </row>
    <row r="520" customFormat="false" ht="15.75" hidden="false" customHeight="false" outlineLevel="0" collapsed="false">
      <c r="J520" s="48"/>
      <c r="K520" s="49"/>
      <c r="L520" s="49"/>
      <c r="N520" s="40"/>
    </row>
    <row r="521" customFormat="false" ht="15.75" hidden="false" customHeight="false" outlineLevel="0" collapsed="false">
      <c r="J521" s="48"/>
      <c r="K521" s="49"/>
      <c r="L521" s="49"/>
      <c r="N521" s="40"/>
    </row>
    <row r="522" customFormat="false" ht="15.75" hidden="false" customHeight="false" outlineLevel="0" collapsed="false">
      <c r="J522" s="48"/>
      <c r="K522" s="49"/>
      <c r="L522" s="49"/>
      <c r="N522" s="40"/>
    </row>
    <row r="523" customFormat="false" ht="15.75" hidden="false" customHeight="false" outlineLevel="0" collapsed="false">
      <c r="J523" s="48"/>
      <c r="K523" s="49"/>
      <c r="L523" s="49"/>
      <c r="N523" s="40"/>
    </row>
    <row r="524" customFormat="false" ht="15.75" hidden="false" customHeight="false" outlineLevel="0" collapsed="false">
      <c r="J524" s="48"/>
      <c r="K524" s="49"/>
      <c r="L524" s="49"/>
      <c r="N524" s="40"/>
    </row>
    <row r="525" customFormat="false" ht="15.75" hidden="false" customHeight="false" outlineLevel="0" collapsed="false">
      <c r="J525" s="48"/>
      <c r="K525" s="49"/>
      <c r="L525" s="49"/>
      <c r="N525" s="40"/>
    </row>
    <row r="526" customFormat="false" ht="15.75" hidden="false" customHeight="false" outlineLevel="0" collapsed="false">
      <c r="J526" s="48"/>
      <c r="K526" s="49"/>
      <c r="L526" s="49"/>
      <c r="N526" s="40"/>
    </row>
    <row r="527" customFormat="false" ht="15.75" hidden="false" customHeight="false" outlineLevel="0" collapsed="false">
      <c r="J527" s="48"/>
      <c r="K527" s="49"/>
      <c r="L527" s="49"/>
      <c r="N527" s="40"/>
    </row>
    <row r="528" customFormat="false" ht="15.75" hidden="false" customHeight="false" outlineLevel="0" collapsed="false">
      <c r="J528" s="48"/>
      <c r="K528" s="49"/>
      <c r="L528" s="49"/>
      <c r="N528" s="40"/>
    </row>
    <row r="529" customFormat="false" ht="15.75" hidden="false" customHeight="false" outlineLevel="0" collapsed="false">
      <c r="J529" s="48"/>
      <c r="K529" s="49"/>
      <c r="L529" s="49"/>
      <c r="N529" s="40"/>
    </row>
    <row r="530" customFormat="false" ht="15.75" hidden="false" customHeight="false" outlineLevel="0" collapsed="false">
      <c r="J530" s="48"/>
      <c r="K530" s="49"/>
      <c r="L530" s="49"/>
      <c r="N530" s="40"/>
    </row>
    <row r="531" customFormat="false" ht="15.75" hidden="false" customHeight="false" outlineLevel="0" collapsed="false">
      <c r="J531" s="48"/>
      <c r="K531" s="49"/>
      <c r="L531" s="49"/>
      <c r="N531" s="40"/>
    </row>
    <row r="532" customFormat="false" ht="15.75" hidden="false" customHeight="false" outlineLevel="0" collapsed="false">
      <c r="J532" s="48"/>
      <c r="K532" s="49"/>
      <c r="L532" s="49"/>
      <c r="N532" s="40"/>
    </row>
    <row r="533" customFormat="false" ht="15.75" hidden="false" customHeight="false" outlineLevel="0" collapsed="false">
      <c r="J533" s="48"/>
      <c r="K533" s="49"/>
      <c r="L533" s="49"/>
      <c r="N533" s="40"/>
    </row>
    <row r="534" customFormat="false" ht="15.75" hidden="false" customHeight="false" outlineLevel="0" collapsed="false">
      <c r="J534" s="48"/>
      <c r="K534" s="49"/>
      <c r="L534" s="49"/>
      <c r="N534" s="40"/>
    </row>
    <row r="535" customFormat="false" ht="15.75" hidden="false" customHeight="false" outlineLevel="0" collapsed="false">
      <c r="J535" s="48"/>
      <c r="K535" s="49"/>
      <c r="L535" s="49"/>
      <c r="N535" s="40"/>
    </row>
    <row r="536" customFormat="false" ht="15.75" hidden="false" customHeight="false" outlineLevel="0" collapsed="false">
      <c r="J536" s="48"/>
      <c r="K536" s="49"/>
      <c r="L536" s="49"/>
      <c r="N536" s="40"/>
    </row>
    <row r="537" customFormat="false" ht="15.75" hidden="false" customHeight="false" outlineLevel="0" collapsed="false">
      <c r="J537" s="48"/>
      <c r="K537" s="49"/>
      <c r="L537" s="49"/>
      <c r="N537" s="40"/>
    </row>
    <row r="538" customFormat="false" ht="15.75" hidden="false" customHeight="false" outlineLevel="0" collapsed="false">
      <c r="J538" s="48"/>
      <c r="K538" s="49"/>
      <c r="L538" s="49"/>
      <c r="N538" s="40"/>
    </row>
    <row r="539" customFormat="false" ht="15.75" hidden="false" customHeight="false" outlineLevel="0" collapsed="false">
      <c r="J539" s="48"/>
      <c r="K539" s="49"/>
      <c r="L539" s="49"/>
      <c r="N539" s="40"/>
    </row>
    <row r="540" customFormat="false" ht="15.75" hidden="false" customHeight="false" outlineLevel="0" collapsed="false">
      <c r="J540" s="48"/>
      <c r="K540" s="49"/>
      <c r="L540" s="49"/>
      <c r="N540" s="40"/>
    </row>
    <row r="541" customFormat="false" ht="15.75" hidden="false" customHeight="false" outlineLevel="0" collapsed="false">
      <c r="J541" s="48"/>
      <c r="K541" s="49"/>
      <c r="L541" s="49"/>
      <c r="N541" s="40"/>
    </row>
    <row r="542" customFormat="false" ht="15.75" hidden="false" customHeight="false" outlineLevel="0" collapsed="false">
      <c r="J542" s="48"/>
      <c r="K542" s="49"/>
      <c r="L542" s="49"/>
      <c r="N542" s="40"/>
    </row>
    <row r="543" customFormat="false" ht="15.75" hidden="false" customHeight="false" outlineLevel="0" collapsed="false">
      <c r="J543" s="48"/>
      <c r="K543" s="49"/>
      <c r="L543" s="49"/>
      <c r="N543" s="40"/>
    </row>
    <row r="544" customFormat="false" ht="15.75" hidden="false" customHeight="false" outlineLevel="0" collapsed="false">
      <c r="J544" s="48"/>
      <c r="K544" s="49"/>
      <c r="L544" s="49"/>
      <c r="N544" s="40"/>
    </row>
    <row r="545" customFormat="false" ht="15.75" hidden="false" customHeight="false" outlineLevel="0" collapsed="false">
      <c r="J545" s="48"/>
      <c r="K545" s="49"/>
      <c r="L545" s="49"/>
      <c r="N545" s="40"/>
    </row>
    <row r="546" customFormat="false" ht="15.75" hidden="false" customHeight="false" outlineLevel="0" collapsed="false">
      <c r="J546" s="48"/>
      <c r="K546" s="49"/>
      <c r="L546" s="49"/>
      <c r="N546" s="40"/>
    </row>
    <row r="547" customFormat="false" ht="15.75" hidden="false" customHeight="false" outlineLevel="0" collapsed="false">
      <c r="J547" s="48"/>
      <c r="K547" s="49"/>
      <c r="L547" s="49"/>
      <c r="N547" s="40"/>
    </row>
    <row r="548" customFormat="false" ht="15.75" hidden="false" customHeight="false" outlineLevel="0" collapsed="false">
      <c r="J548" s="48"/>
      <c r="K548" s="49"/>
      <c r="L548" s="49"/>
      <c r="N548" s="40"/>
    </row>
    <row r="549" customFormat="false" ht="15.75" hidden="false" customHeight="false" outlineLevel="0" collapsed="false">
      <c r="J549" s="48"/>
      <c r="K549" s="49"/>
      <c r="L549" s="49"/>
      <c r="N549" s="40"/>
    </row>
    <row r="550" customFormat="false" ht="15.75" hidden="false" customHeight="false" outlineLevel="0" collapsed="false">
      <c r="J550" s="48"/>
      <c r="K550" s="49"/>
      <c r="L550" s="49"/>
      <c r="N550" s="40"/>
    </row>
    <row r="551" customFormat="false" ht="15.75" hidden="false" customHeight="false" outlineLevel="0" collapsed="false">
      <c r="J551" s="48"/>
      <c r="K551" s="49"/>
      <c r="L551" s="49"/>
      <c r="N551" s="40"/>
    </row>
    <row r="552" customFormat="false" ht="15.75" hidden="false" customHeight="false" outlineLevel="0" collapsed="false">
      <c r="J552" s="48"/>
      <c r="K552" s="49"/>
      <c r="L552" s="49"/>
      <c r="N552" s="40"/>
    </row>
    <row r="553" customFormat="false" ht="15.75" hidden="false" customHeight="false" outlineLevel="0" collapsed="false">
      <c r="J553" s="48"/>
      <c r="K553" s="49"/>
      <c r="L553" s="49"/>
      <c r="N553" s="40"/>
    </row>
    <row r="554" customFormat="false" ht="15.75" hidden="false" customHeight="false" outlineLevel="0" collapsed="false">
      <c r="J554" s="48"/>
      <c r="K554" s="49"/>
      <c r="L554" s="49"/>
      <c r="N554" s="40"/>
    </row>
    <row r="555" customFormat="false" ht="15.75" hidden="false" customHeight="false" outlineLevel="0" collapsed="false">
      <c r="J555" s="48"/>
      <c r="K555" s="49"/>
      <c r="L555" s="49"/>
      <c r="N555" s="40"/>
    </row>
    <row r="556" customFormat="false" ht="15.75" hidden="false" customHeight="false" outlineLevel="0" collapsed="false">
      <c r="J556" s="48"/>
      <c r="K556" s="49"/>
      <c r="L556" s="49"/>
      <c r="N556" s="40"/>
    </row>
    <row r="557" customFormat="false" ht="15.75" hidden="false" customHeight="false" outlineLevel="0" collapsed="false">
      <c r="J557" s="48"/>
      <c r="K557" s="49"/>
      <c r="L557" s="49"/>
      <c r="N557" s="40"/>
    </row>
    <row r="558" customFormat="false" ht="15.75" hidden="false" customHeight="false" outlineLevel="0" collapsed="false">
      <c r="J558" s="48"/>
      <c r="K558" s="49"/>
      <c r="L558" s="49"/>
      <c r="N558" s="40"/>
    </row>
    <row r="559" customFormat="false" ht="15.75" hidden="false" customHeight="false" outlineLevel="0" collapsed="false">
      <c r="J559" s="48"/>
      <c r="K559" s="49"/>
      <c r="L559" s="49"/>
      <c r="N559" s="40"/>
    </row>
    <row r="560" customFormat="false" ht="15.75" hidden="false" customHeight="false" outlineLevel="0" collapsed="false">
      <c r="J560" s="48"/>
      <c r="K560" s="49"/>
      <c r="L560" s="49"/>
      <c r="N560" s="40"/>
    </row>
    <row r="561" customFormat="false" ht="15.75" hidden="false" customHeight="false" outlineLevel="0" collapsed="false">
      <c r="J561" s="48"/>
      <c r="K561" s="49"/>
      <c r="L561" s="49"/>
      <c r="N561" s="40"/>
    </row>
    <row r="562" customFormat="false" ht="15.75" hidden="false" customHeight="false" outlineLevel="0" collapsed="false">
      <c r="J562" s="48"/>
      <c r="K562" s="49"/>
      <c r="L562" s="49"/>
      <c r="N562" s="40"/>
    </row>
    <row r="563" customFormat="false" ht="15.75" hidden="false" customHeight="false" outlineLevel="0" collapsed="false">
      <c r="J563" s="48"/>
      <c r="K563" s="49"/>
      <c r="L563" s="49"/>
      <c r="N563" s="40"/>
    </row>
    <row r="564" customFormat="false" ht="15.75" hidden="false" customHeight="false" outlineLevel="0" collapsed="false">
      <c r="J564" s="48"/>
      <c r="K564" s="49"/>
      <c r="L564" s="49"/>
      <c r="N564" s="40"/>
    </row>
    <row r="565" customFormat="false" ht="15.75" hidden="false" customHeight="false" outlineLevel="0" collapsed="false">
      <c r="J565" s="48"/>
      <c r="K565" s="49"/>
      <c r="L565" s="49"/>
      <c r="N565" s="40"/>
    </row>
    <row r="566" customFormat="false" ht="15.75" hidden="false" customHeight="false" outlineLevel="0" collapsed="false">
      <c r="J566" s="48"/>
      <c r="K566" s="49"/>
      <c r="L566" s="49"/>
      <c r="N566" s="40"/>
    </row>
    <row r="567" customFormat="false" ht="15.75" hidden="false" customHeight="false" outlineLevel="0" collapsed="false">
      <c r="J567" s="48"/>
      <c r="K567" s="49"/>
      <c r="L567" s="49"/>
      <c r="N567" s="40"/>
    </row>
    <row r="568" customFormat="false" ht="15.75" hidden="false" customHeight="false" outlineLevel="0" collapsed="false">
      <c r="J568" s="48"/>
      <c r="K568" s="49"/>
      <c r="L568" s="49"/>
      <c r="N568" s="40"/>
    </row>
    <row r="569" customFormat="false" ht="15.75" hidden="false" customHeight="false" outlineLevel="0" collapsed="false">
      <c r="J569" s="48"/>
      <c r="K569" s="49"/>
      <c r="L569" s="49"/>
      <c r="N569" s="40"/>
    </row>
    <row r="570" customFormat="false" ht="15.75" hidden="false" customHeight="false" outlineLevel="0" collapsed="false">
      <c r="J570" s="48"/>
      <c r="K570" s="49"/>
      <c r="L570" s="49"/>
      <c r="N570" s="40"/>
    </row>
    <row r="571" customFormat="false" ht="15.75" hidden="false" customHeight="false" outlineLevel="0" collapsed="false">
      <c r="J571" s="48"/>
      <c r="K571" s="49"/>
      <c r="L571" s="49"/>
      <c r="N571" s="40"/>
    </row>
    <row r="572" customFormat="false" ht="15.75" hidden="false" customHeight="false" outlineLevel="0" collapsed="false">
      <c r="J572" s="48"/>
      <c r="K572" s="49"/>
      <c r="L572" s="49"/>
      <c r="N572" s="40"/>
    </row>
    <row r="573" customFormat="false" ht="15.75" hidden="false" customHeight="false" outlineLevel="0" collapsed="false">
      <c r="J573" s="48"/>
      <c r="K573" s="49"/>
      <c r="L573" s="49"/>
      <c r="N573" s="40"/>
    </row>
    <row r="574" customFormat="false" ht="15.75" hidden="false" customHeight="false" outlineLevel="0" collapsed="false">
      <c r="J574" s="48"/>
      <c r="K574" s="49"/>
      <c r="L574" s="49"/>
      <c r="N574" s="40"/>
    </row>
    <row r="575" customFormat="false" ht="15.75" hidden="false" customHeight="false" outlineLevel="0" collapsed="false">
      <c r="J575" s="48"/>
      <c r="K575" s="49"/>
      <c r="L575" s="49"/>
      <c r="N575" s="40"/>
    </row>
    <row r="576" customFormat="false" ht="15.75" hidden="false" customHeight="false" outlineLevel="0" collapsed="false">
      <c r="J576" s="48"/>
      <c r="K576" s="49"/>
      <c r="L576" s="49"/>
      <c r="N576" s="40"/>
    </row>
    <row r="577" customFormat="false" ht="15.75" hidden="false" customHeight="false" outlineLevel="0" collapsed="false">
      <c r="J577" s="48"/>
      <c r="K577" s="49"/>
      <c r="L577" s="49"/>
      <c r="N577" s="40"/>
    </row>
    <row r="578" customFormat="false" ht="15.75" hidden="false" customHeight="false" outlineLevel="0" collapsed="false">
      <c r="J578" s="48"/>
      <c r="K578" s="49"/>
      <c r="L578" s="49"/>
      <c r="N578" s="40"/>
    </row>
    <row r="579" customFormat="false" ht="15.75" hidden="false" customHeight="false" outlineLevel="0" collapsed="false">
      <c r="J579" s="48"/>
      <c r="K579" s="49"/>
      <c r="L579" s="49"/>
      <c r="N579" s="40"/>
    </row>
    <row r="580" customFormat="false" ht="15.75" hidden="false" customHeight="false" outlineLevel="0" collapsed="false">
      <c r="J580" s="48"/>
      <c r="K580" s="49"/>
      <c r="L580" s="49"/>
      <c r="N580" s="40"/>
    </row>
    <row r="581" customFormat="false" ht="15.75" hidden="false" customHeight="false" outlineLevel="0" collapsed="false">
      <c r="J581" s="48"/>
      <c r="K581" s="49"/>
      <c r="L581" s="49"/>
      <c r="N581" s="40"/>
    </row>
    <row r="582" customFormat="false" ht="15.75" hidden="false" customHeight="false" outlineLevel="0" collapsed="false">
      <c r="J582" s="48"/>
      <c r="K582" s="49"/>
      <c r="L582" s="49"/>
      <c r="N582" s="40"/>
    </row>
    <row r="583" customFormat="false" ht="15.75" hidden="false" customHeight="false" outlineLevel="0" collapsed="false">
      <c r="J583" s="48"/>
      <c r="K583" s="49"/>
      <c r="L583" s="49"/>
      <c r="N583" s="40"/>
    </row>
    <row r="584" customFormat="false" ht="15.75" hidden="false" customHeight="false" outlineLevel="0" collapsed="false">
      <c r="J584" s="48"/>
      <c r="K584" s="49"/>
      <c r="L584" s="49"/>
      <c r="N584" s="40"/>
    </row>
    <row r="585" customFormat="false" ht="15.75" hidden="false" customHeight="false" outlineLevel="0" collapsed="false">
      <c r="J585" s="48"/>
      <c r="K585" s="49"/>
      <c r="L585" s="49"/>
      <c r="N585" s="40"/>
    </row>
    <row r="586" customFormat="false" ht="15.75" hidden="false" customHeight="false" outlineLevel="0" collapsed="false">
      <c r="J586" s="48"/>
      <c r="K586" s="49"/>
      <c r="L586" s="49"/>
      <c r="N586" s="40"/>
    </row>
    <row r="587" customFormat="false" ht="15.75" hidden="false" customHeight="false" outlineLevel="0" collapsed="false">
      <c r="J587" s="48"/>
      <c r="K587" s="49"/>
      <c r="L587" s="49"/>
      <c r="N587" s="40"/>
    </row>
    <row r="588" customFormat="false" ht="15.75" hidden="false" customHeight="false" outlineLevel="0" collapsed="false">
      <c r="J588" s="48"/>
      <c r="K588" s="49"/>
      <c r="L588" s="49"/>
      <c r="N588" s="40"/>
    </row>
    <row r="589" customFormat="false" ht="15.75" hidden="false" customHeight="false" outlineLevel="0" collapsed="false">
      <c r="J589" s="48"/>
      <c r="K589" s="49"/>
      <c r="L589" s="49"/>
      <c r="N589" s="40"/>
    </row>
    <row r="590" customFormat="false" ht="15.75" hidden="false" customHeight="false" outlineLevel="0" collapsed="false">
      <c r="J590" s="48"/>
      <c r="K590" s="49"/>
      <c r="L590" s="49"/>
      <c r="N590" s="40"/>
    </row>
    <row r="591" customFormat="false" ht="15.75" hidden="false" customHeight="false" outlineLevel="0" collapsed="false">
      <c r="J591" s="48"/>
      <c r="K591" s="49"/>
      <c r="L591" s="49"/>
      <c r="N591" s="40"/>
    </row>
    <row r="592" customFormat="false" ht="15.75" hidden="false" customHeight="false" outlineLevel="0" collapsed="false">
      <c r="J592" s="48"/>
      <c r="K592" s="49"/>
      <c r="L592" s="49"/>
      <c r="N592" s="40"/>
    </row>
    <row r="593" customFormat="false" ht="15.75" hidden="false" customHeight="false" outlineLevel="0" collapsed="false">
      <c r="J593" s="48"/>
      <c r="K593" s="49"/>
      <c r="L593" s="49"/>
      <c r="N593" s="40"/>
    </row>
    <row r="594" customFormat="false" ht="15.75" hidden="false" customHeight="false" outlineLevel="0" collapsed="false">
      <c r="J594" s="48"/>
      <c r="K594" s="49"/>
      <c r="L594" s="49"/>
      <c r="N594" s="40"/>
    </row>
    <row r="595" customFormat="false" ht="15.75" hidden="false" customHeight="false" outlineLevel="0" collapsed="false">
      <c r="J595" s="48"/>
      <c r="K595" s="49"/>
      <c r="L595" s="49"/>
      <c r="N595" s="40"/>
    </row>
    <row r="596" customFormat="false" ht="15.75" hidden="false" customHeight="false" outlineLevel="0" collapsed="false">
      <c r="J596" s="48"/>
      <c r="K596" s="49"/>
      <c r="L596" s="49"/>
      <c r="N596" s="40"/>
    </row>
    <row r="597" customFormat="false" ht="15.75" hidden="false" customHeight="false" outlineLevel="0" collapsed="false">
      <c r="J597" s="48"/>
      <c r="K597" s="49"/>
      <c r="L597" s="49"/>
      <c r="N597" s="40"/>
    </row>
    <row r="598" customFormat="false" ht="15.75" hidden="false" customHeight="false" outlineLevel="0" collapsed="false">
      <c r="J598" s="48"/>
      <c r="K598" s="49"/>
      <c r="L598" s="49"/>
      <c r="N598" s="40"/>
    </row>
    <row r="599" customFormat="false" ht="15.75" hidden="false" customHeight="false" outlineLevel="0" collapsed="false">
      <c r="J599" s="48"/>
      <c r="K599" s="49"/>
      <c r="L599" s="49"/>
      <c r="N599" s="40"/>
    </row>
    <row r="600" customFormat="false" ht="15.75" hidden="false" customHeight="false" outlineLevel="0" collapsed="false">
      <c r="J600" s="48"/>
      <c r="K600" s="49"/>
      <c r="L600" s="49"/>
      <c r="N600" s="40"/>
    </row>
    <row r="601" customFormat="false" ht="15.75" hidden="false" customHeight="false" outlineLevel="0" collapsed="false">
      <c r="J601" s="48"/>
      <c r="K601" s="49"/>
      <c r="L601" s="49"/>
      <c r="N601" s="40"/>
    </row>
    <row r="602" customFormat="false" ht="15.75" hidden="false" customHeight="false" outlineLevel="0" collapsed="false">
      <c r="J602" s="48"/>
      <c r="K602" s="49"/>
      <c r="L602" s="49"/>
      <c r="N602" s="40"/>
    </row>
    <row r="603" customFormat="false" ht="15.75" hidden="false" customHeight="false" outlineLevel="0" collapsed="false">
      <c r="J603" s="48"/>
      <c r="K603" s="49"/>
      <c r="L603" s="49"/>
      <c r="N603" s="40"/>
    </row>
    <row r="604" customFormat="false" ht="15.75" hidden="false" customHeight="false" outlineLevel="0" collapsed="false">
      <c r="J604" s="48"/>
      <c r="K604" s="49"/>
      <c r="L604" s="49"/>
      <c r="N604" s="40"/>
    </row>
    <row r="605" customFormat="false" ht="15.75" hidden="false" customHeight="false" outlineLevel="0" collapsed="false">
      <c r="J605" s="48"/>
      <c r="K605" s="49"/>
      <c r="L605" s="49"/>
      <c r="N605" s="40"/>
    </row>
    <row r="606" customFormat="false" ht="15.75" hidden="false" customHeight="false" outlineLevel="0" collapsed="false">
      <c r="J606" s="48"/>
      <c r="K606" s="49"/>
      <c r="L606" s="49"/>
      <c r="N606" s="40"/>
    </row>
    <row r="607" customFormat="false" ht="15.75" hidden="false" customHeight="false" outlineLevel="0" collapsed="false">
      <c r="J607" s="48"/>
      <c r="K607" s="49"/>
      <c r="L607" s="49"/>
      <c r="N607" s="40"/>
    </row>
    <row r="608" customFormat="false" ht="15.75" hidden="false" customHeight="false" outlineLevel="0" collapsed="false">
      <c r="J608" s="48"/>
      <c r="K608" s="49"/>
      <c r="L608" s="49"/>
      <c r="N608" s="40"/>
    </row>
    <row r="609" customFormat="false" ht="15.75" hidden="false" customHeight="false" outlineLevel="0" collapsed="false">
      <c r="J609" s="48"/>
      <c r="K609" s="49"/>
      <c r="L609" s="49"/>
      <c r="N609" s="40"/>
    </row>
    <row r="610" customFormat="false" ht="15.75" hidden="false" customHeight="false" outlineLevel="0" collapsed="false">
      <c r="J610" s="48"/>
      <c r="K610" s="49"/>
      <c r="L610" s="49"/>
      <c r="N610" s="40"/>
    </row>
    <row r="611" customFormat="false" ht="15.75" hidden="false" customHeight="false" outlineLevel="0" collapsed="false">
      <c r="J611" s="48"/>
      <c r="K611" s="49"/>
      <c r="L611" s="49"/>
      <c r="N611" s="40"/>
    </row>
    <row r="612" customFormat="false" ht="15.75" hidden="false" customHeight="false" outlineLevel="0" collapsed="false">
      <c r="J612" s="48"/>
      <c r="K612" s="49"/>
      <c r="L612" s="49"/>
      <c r="N612" s="40"/>
    </row>
    <row r="613" customFormat="false" ht="15.75" hidden="false" customHeight="false" outlineLevel="0" collapsed="false">
      <c r="J613" s="48"/>
      <c r="K613" s="49"/>
      <c r="L613" s="49"/>
      <c r="N613" s="40"/>
    </row>
    <row r="614" customFormat="false" ht="15.75" hidden="false" customHeight="false" outlineLevel="0" collapsed="false">
      <c r="J614" s="48"/>
      <c r="K614" s="49"/>
      <c r="L614" s="49"/>
      <c r="N614" s="40"/>
    </row>
    <row r="615" customFormat="false" ht="15.75" hidden="false" customHeight="false" outlineLevel="0" collapsed="false">
      <c r="J615" s="48"/>
      <c r="K615" s="49"/>
      <c r="L615" s="49"/>
      <c r="N615" s="40"/>
    </row>
    <row r="616" customFormat="false" ht="15.75" hidden="false" customHeight="false" outlineLevel="0" collapsed="false">
      <c r="J616" s="48"/>
      <c r="K616" s="49"/>
      <c r="L616" s="49"/>
      <c r="N616" s="40"/>
    </row>
    <row r="617" customFormat="false" ht="15.75" hidden="false" customHeight="false" outlineLevel="0" collapsed="false">
      <c r="J617" s="48"/>
      <c r="K617" s="49"/>
      <c r="L617" s="49"/>
      <c r="N617" s="40"/>
    </row>
    <row r="618" customFormat="false" ht="15.75" hidden="false" customHeight="false" outlineLevel="0" collapsed="false">
      <c r="J618" s="48"/>
      <c r="K618" s="49"/>
      <c r="L618" s="49"/>
      <c r="N618" s="40"/>
    </row>
    <row r="619" customFormat="false" ht="15.75" hidden="false" customHeight="false" outlineLevel="0" collapsed="false">
      <c r="J619" s="48"/>
      <c r="K619" s="49"/>
      <c r="L619" s="49"/>
      <c r="N619" s="40"/>
    </row>
    <row r="620" customFormat="false" ht="15.75" hidden="false" customHeight="false" outlineLevel="0" collapsed="false">
      <c r="J620" s="48"/>
      <c r="K620" s="49"/>
      <c r="L620" s="49"/>
      <c r="N620" s="40"/>
    </row>
    <row r="621" customFormat="false" ht="15.75" hidden="false" customHeight="false" outlineLevel="0" collapsed="false">
      <c r="J621" s="48"/>
      <c r="K621" s="49"/>
      <c r="L621" s="49"/>
      <c r="N621" s="40"/>
    </row>
    <row r="622" customFormat="false" ht="15.75" hidden="false" customHeight="false" outlineLevel="0" collapsed="false">
      <c r="J622" s="48"/>
      <c r="K622" s="49"/>
      <c r="L622" s="49"/>
      <c r="N622" s="40"/>
    </row>
    <row r="623" customFormat="false" ht="15.75" hidden="false" customHeight="false" outlineLevel="0" collapsed="false">
      <c r="J623" s="48"/>
      <c r="K623" s="49"/>
      <c r="L623" s="49"/>
      <c r="N623" s="40"/>
    </row>
    <row r="624" customFormat="false" ht="15.75" hidden="false" customHeight="false" outlineLevel="0" collapsed="false">
      <c r="J624" s="48"/>
      <c r="K624" s="49"/>
      <c r="L624" s="49"/>
      <c r="N624" s="40"/>
    </row>
    <row r="625" customFormat="false" ht="15.75" hidden="false" customHeight="false" outlineLevel="0" collapsed="false">
      <c r="J625" s="48"/>
      <c r="K625" s="49"/>
      <c r="L625" s="49"/>
      <c r="N625" s="40"/>
    </row>
    <row r="626" customFormat="false" ht="15.75" hidden="false" customHeight="false" outlineLevel="0" collapsed="false">
      <c r="J626" s="48"/>
      <c r="K626" s="49"/>
      <c r="L626" s="49"/>
      <c r="N626" s="40"/>
    </row>
    <row r="627" customFormat="false" ht="15.75" hidden="false" customHeight="false" outlineLevel="0" collapsed="false">
      <c r="J627" s="48"/>
      <c r="K627" s="49"/>
      <c r="L627" s="49"/>
      <c r="N627" s="40"/>
    </row>
    <row r="628" customFormat="false" ht="15.75" hidden="false" customHeight="false" outlineLevel="0" collapsed="false">
      <c r="J628" s="48"/>
      <c r="K628" s="49"/>
      <c r="L628" s="49"/>
      <c r="N628" s="40"/>
    </row>
    <row r="629" customFormat="false" ht="15.75" hidden="false" customHeight="false" outlineLevel="0" collapsed="false">
      <c r="J629" s="48"/>
      <c r="K629" s="49"/>
      <c r="L629" s="49"/>
      <c r="N629" s="40"/>
    </row>
    <row r="630" customFormat="false" ht="15.75" hidden="false" customHeight="false" outlineLevel="0" collapsed="false">
      <c r="J630" s="48"/>
      <c r="K630" s="49"/>
      <c r="L630" s="49"/>
      <c r="N630" s="40"/>
    </row>
    <row r="631" customFormat="false" ht="15.75" hidden="false" customHeight="false" outlineLevel="0" collapsed="false">
      <c r="J631" s="48"/>
      <c r="K631" s="49"/>
      <c r="L631" s="49"/>
      <c r="N631" s="40"/>
    </row>
    <row r="632" customFormat="false" ht="15.75" hidden="false" customHeight="false" outlineLevel="0" collapsed="false">
      <c r="J632" s="48"/>
      <c r="K632" s="49"/>
      <c r="L632" s="49"/>
      <c r="N632" s="40"/>
    </row>
    <row r="633" customFormat="false" ht="15.75" hidden="false" customHeight="false" outlineLevel="0" collapsed="false">
      <c r="J633" s="48"/>
      <c r="K633" s="49"/>
      <c r="L633" s="49"/>
      <c r="N633" s="40"/>
    </row>
    <row r="634" customFormat="false" ht="15.75" hidden="false" customHeight="false" outlineLevel="0" collapsed="false">
      <c r="J634" s="48"/>
      <c r="K634" s="49"/>
      <c r="L634" s="49"/>
      <c r="N634" s="40"/>
    </row>
    <row r="635" customFormat="false" ht="15.75" hidden="false" customHeight="false" outlineLevel="0" collapsed="false">
      <c r="J635" s="48"/>
      <c r="K635" s="49"/>
      <c r="L635" s="49"/>
      <c r="N635" s="40"/>
    </row>
    <row r="636" customFormat="false" ht="15.75" hidden="false" customHeight="false" outlineLevel="0" collapsed="false">
      <c r="J636" s="48"/>
      <c r="K636" s="49"/>
      <c r="L636" s="49"/>
      <c r="N636" s="40"/>
    </row>
    <row r="637" customFormat="false" ht="15.75" hidden="false" customHeight="false" outlineLevel="0" collapsed="false">
      <c r="J637" s="48"/>
      <c r="K637" s="49"/>
      <c r="L637" s="49"/>
      <c r="N637" s="40"/>
    </row>
    <row r="638" customFormat="false" ht="15.75" hidden="false" customHeight="false" outlineLevel="0" collapsed="false">
      <c r="J638" s="48"/>
      <c r="K638" s="49"/>
      <c r="L638" s="49"/>
      <c r="N638" s="40"/>
    </row>
    <row r="639" customFormat="false" ht="15.75" hidden="false" customHeight="false" outlineLevel="0" collapsed="false">
      <c r="J639" s="48"/>
      <c r="K639" s="49"/>
      <c r="L639" s="49"/>
      <c r="N639" s="40"/>
    </row>
    <row r="640" customFormat="false" ht="15.75" hidden="false" customHeight="false" outlineLevel="0" collapsed="false">
      <c r="J640" s="48"/>
      <c r="K640" s="49"/>
      <c r="L640" s="49"/>
      <c r="N640" s="40"/>
    </row>
    <row r="641" customFormat="false" ht="15.75" hidden="false" customHeight="false" outlineLevel="0" collapsed="false">
      <c r="J641" s="48"/>
      <c r="K641" s="49"/>
      <c r="L641" s="49"/>
      <c r="N641" s="40"/>
    </row>
    <row r="642" customFormat="false" ht="15.75" hidden="false" customHeight="false" outlineLevel="0" collapsed="false">
      <c r="J642" s="48"/>
      <c r="K642" s="49"/>
      <c r="L642" s="49"/>
      <c r="N642" s="40"/>
    </row>
    <row r="643" customFormat="false" ht="15.75" hidden="false" customHeight="false" outlineLevel="0" collapsed="false">
      <c r="J643" s="48"/>
      <c r="K643" s="49"/>
      <c r="L643" s="49"/>
      <c r="N643" s="40"/>
    </row>
    <row r="644" customFormat="false" ht="15.75" hidden="false" customHeight="false" outlineLevel="0" collapsed="false">
      <c r="J644" s="48"/>
      <c r="K644" s="49"/>
      <c r="L644" s="49"/>
      <c r="N644" s="40"/>
    </row>
    <row r="645" customFormat="false" ht="15.75" hidden="false" customHeight="false" outlineLevel="0" collapsed="false">
      <c r="J645" s="48"/>
      <c r="K645" s="49"/>
      <c r="L645" s="49"/>
      <c r="N645" s="40"/>
    </row>
    <row r="646" customFormat="false" ht="15.75" hidden="false" customHeight="false" outlineLevel="0" collapsed="false">
      <c r="J646" s="48"/>
      <c r="K646" s="49"/>
      <c r="L646" s="49"/>
      <c r="N646" s="40"/>
    </row>
    <row r="647" customFormat="false" ht="15.75" hidden="false" customHeight="false" outlineLevel="0" collapsed="false">
      <c r="J647" s="48"/>
      <c r="K647" s="49"/>
      <c r="L647" s="49"/>
      <c r="N647" s="40"/>
    </row>
    <row r="648" customFormat="false" ht="15.75" hidden="false" customHeight="false" outlineLevel="0" collapsed="false">
      <c r="J648" s="48"/>
      <c r="K648" s="49"/>
      <c r="L648" s="49"/>
      <c r="N648" s="40"/>
    </row>
    <row r="649" customFormat="false" ht="15.75" hidden="false" customHeight="false" outlineLevel="0" collapsed="false">
      <c r="J649" s="48"/>
      <c r="K649" s="49"/>
      <c r="L649" s="49"/>
      <c r="N649" s="40"/>
    </row>
    <row r="650" customFormat="false" ht="15.75" hidden="false" customHeight="false" outlineLevel="0" collapsed="false">
      <c r="J650" s="48"/>
      <c r="K650" s="49"/>
      <c r="L650" s="49"/>
      <c r="N650" s="40"/>
    </row>
    <row r="651" customFormat="false" ht="15.75" hidden="false" customHeight="false" outlineLevel="0" collapsed="false">
      <c r="J651" s="48"/>
      <c r="K651" s="49"/>
      <c r="L651" s="49"/>
      <c r="N651" s="40"/>
    </row>
    <row r="652" customFormat="false" ht="15.75" hidden="false" customHeight="false" outlineLevel="0" collapsed="false">
      <c r="J652" s="48"/>
      <c r="K652" s="49"/>
      <c r="L652" s="49"/>
      <c r="N652" s="40"/>
    </row>
    <row r="653" customFormat="false" ht="15.75" hidden="false" customHeight="false" outlineLevel="0" collapsed="false">
      <c r="J653" s="48"/>
      <c r="K653" s="49"/>
      <c r="L653" s="49"/>
      <c r="N653" s="40"/>
    </row>
    <row r="654" customFormat="false" ht="15.75" hidden="false" customHeight="false" outlineLevel="0" collapsed="false">
      <c r="J654" s="48"/>
      <c r="K654" s="49"/>
      <c r="L654" s="49"/>
      <c r="N654" s="40"/>
    </row>
    <row r="655" customFormat="false" ht="15.75" hidden="false" customHeight="false" outlineLevel="0" collapsed="false">
      <c r="J655" s="48"/>
      <c r="K655" s="49"/>
      <c r="L655" s="49"/>
      <c r="N655" s="40"/>
    </row>
    <row r="656" customFormat="false" ht="15.75" hidden="false" customHeight="false" outlineLevel="0" collapsed="false">
      <c r="J656" s="48"/>
      <c r="K656" s="49"/>
      <c r="L656" s="49"/>
      <c r="N656" s="40"/>
    </row>
    <row r="657" customFormat="false" ht="15.75" hidden="false" customHeight="false" outlineLevel="0" collapsed="false">
      <c r="J657" s="48"/>
      <c r="K657" s="49"/>
      <c r="L657" s="49"/>
      <c r="N657" s="40"/>
    </row>
    <row r="658" customFormat="false" ht="15.75" hidden="false" customHeight="false" outlineLevel="0" collapsed="false">
      <c r="J658" s="48"/>
      <c r="K658" s="49"/>
      <c r="L658" s="49"/>
      <c r="N658" s="40"/>
    </row>
    <row r="659" customFormat="false" ht="15.75" hidden="false" customHeight="false" outlineLevel="0" collapsed="false">
      <c r="J659" s="48"/>
      <c r="K659" s="49"/>
      <c r="L659" s="49"/>
      <c r="N659" s="40"/>
    </row>
    <row r="660" customFormat="false" ht="15.75" hidden="false" customHeight="false" outlineLevel="0" collapsed="false">
      <c r="J660" s="48"/>
      <c r="K660" s="49"/>
      <c r="L660" s="49"/>
      <c r="N660" s="40"/>
    </row>
    <row r="661" customFormat="false" ht="15.75" hidden="false" customHeight="false" outlineLevel="0" collapsed="false">
      <c r="J661" s="48"/>
      <c r="K661" s="49"/>
      <c r="L661" s="49"/>
      <c r="N661" s="40"/>
    </row>
    <row r="662" customFormat="false" ht="15.75" hidden="false" customHeight="false" outlineLevel="0" collapsed="false">
      <c r="J662" s="48"/>
      <c r="K662" s="49"/>
      <c r="L662" s="49"/>
      <c r="N662" s="40"/>
    </row>
    <row r="663" customFormat="false" ht="15.75" hidden="false" customHeight="false" outlineLevel="0" collapsed="false">
      <c r="J663" s="48"/>
      <c r="K663" s="49"/>
      <c r="L663" s="49"/>
      <c r="N663" s="40"/>
    </row>
    <row r="664" customFormat="false" ht="15.75" hidden="false" customHeight="false" outlineLevel="0" collapsed="false">
      <c r="J664" s="48"/>
      <c r="K664" s="49"/>
      <c r="L664" s="49"/>
      <c r="N664" s="40"/>
    </row>
    <row r="665" customFormat="false" ht="15.75" hidden="false" customHeight="false" outlineLevel="0" collapsed="false">
      <c r="J665" s="48"/>
      <c r="K665" s="49"/>
      <c r="L665" s="49"/>
      <c r="N665" s="40"/>
    </row>
    <row r="666" customFormat="false" ht="15.75" hidden="false" customHeight="false" outlineLevel="0" collapsed="false">
      <c r="J666" s="48"/>
      <c r="K666" s="49"/>
      <c r="L666" s="49"/>
      <c r="N666" s="40"/>
    </row>
    <row r="667" customFormat="false" ht="15.75" hidden="false" customHeight="false" outlineLevel="0" collapsed="false">
      <c r="J667" s="48"/>
      <c r="K667" s="49"/>
      <c r="L667" s="49"/>
      <c r="N667" s="40"/>
    </row>
    <row r="668" customFormat="false" ht="15.75" hidden="false" customHeight="false" outlineLevel="0" collapsed="false">
      <c r="J668" s="48"/>
      <c r="K668" s="49"/>
      <c r="L668" s="49"/>
      <c r="N668" s="40"/>
    </row>
    <row r="669" customFormat="false" ht="15.75" hidden="false" customHeight="false" outlineLevel="0" collapsed="false">
      <c r="J669" s="48"/>
      <c r="K669" s="49"/>
      <c r="L669" s="49"/>
      <c r="N669" s="40"/>
    </row>
    <row r="670" customFormat="false" ht="15.75" hidden="false" customHeight="false" outlineLevel="0" collapsed="false">
      <c r="J670" s="48"/>
      <c r="K670" s="49"/>
      <c r="L670" s="49"/>
      <c r="N670" s="40"/>
    </row>
    <row r="671" customFormat="false" ht="15.75" hidden="false" customHeight="false" outlineLevel="0" collapsed="false">
      <c r="J671" s="48"/>
      <c r="K671" s="49"/>
      <c r="L671" s="49"/>
      <c r="N671" s="40"/>
    </row>
    <row r="672" customFormat="false" ht="15.75" hidden="false" customHeight="false" outlineLevel="0" collapsed="false">
      <c r="J672" s="48"/>
      <c r="K672" s="49"/>
      <c r="L672" s="49"/>
      <c r="N672" s="40"/>
    </row>
    <row r="673" customFormat="false" ht="15.75" hidden="false" customHeight="false" outlineLevel="0" collapsed="false">
      <c r="J673" s="48"/>
      <c r="K673" s="49"/>
      <c r="L673" s="49"/>
      <c r="N673" s="40"/>
    </row>
    <row r="674" customFormat="false" ht="15.75" hidden="false" customHeight="false" outlineLevel="0" collapsed="false">
      <c r="J674" s="48"/>
      <c r="K674" s="49"/>
      <c r="L674" s="49"/>
      <c r="N674" s="40"/>
    </row>
    <row r="675" customFormat="false" ht="15.75" hidden="false" customHeight="false" outlineLevel="0" collapsed="false">
      <c r="J675" s="48"/>
      <c r="K675" s="49"/>
      <c r="L675" s="49"/>
      <c r="N675" s="40"/>
    </row>
    <row r="676" customFormat="false" ht="15.75" hidden="false" customHeight="false" outlineLevel="0" collapsed="false">
      <c r="J676" s="48"/>
      <c r="K676" s="49"/>
      <c r="L676" s="49"/>
      <c r="N676" s="40"/>
    </row>
    <row r="677" customFormat="false" ht="15.75" hidden="false" customHeight="false" outlineLevel="0" collapsed="false">
      <c r="J677" s="48"/>
      <c r="K677" s="49"/>
      <c r="L677" s="49"/>
      <c r="N677" s="40"/>
    </row>
    <row r="678" customFormat="false" ht="15.75" hidden="false" customHeight="false" outlineLevel="0" collapsed="false">
      <c r="J678" s="48"/>
      <c r="K678" s="49"/>
      <c r="L678" s="49"/>
      <c r="N678" s="40"/>
    </row>
    <row r="679" customFormat="false" ht="15.75" hidden="false" customHeight="false" outlineLevel="0" collapsed="false">
      <c r="J679" s="48"/>
      <c r="K679" s="49"/>
      <c r="L679" s="49"/>
      <c r="N679" s="40"/>
    </row>
    <row r="680" customFormat="false" ht="15.75" hidden="false" customHeight="false" outlineLevel="0" collapsed="false">
      <c r="J680" s="48"/>
      <c r="K680" s="49"/>
      <c r="L680" s="49"/>
      <c r="N680" s="40"/>
    </row>
    <row r="681" customFormat="false" ht="15.75" hidden="false" customHeight="false" outlineLevel="0" collapsed="false">
      <c r="J681" s="48"/>
      <c r="K681" s="49"/>
      <c r="L681" s="49"/>
      <c r="N681" s="40"/>
    </row>
    <row r="682" customFormat="false" ht="15.75" hidden="false" customHeight="false" outlineLevel="0" collapsed="false">
      <c r="J682" s="48"/>
      <c r="K682" s="49"/>
      <c r="L682" s="49"/>
      <c r="N682" s="40"/>
    </row>
    <row r="683" customFormat="false" ht="15.75" hidden="false" customHeight="false" outlineLevel="0" collapsed="false">
      <c r="J683" s="48"/>
      <c r="K683" s="49"/>
      <c r="L683" s="49"/>
      <c r="N683" s="40"/>
    </row>
    <row r="684" customFormat="false" ht="15.75" hidden="false" customHeight="false" outlineLevel="0" collapsed="false">
      <c r="J684" s="48"/>
      <c r="K684" s="49"/>
      <c r="L684" s="49"/>
      <c r="N684" s="40"/>
    </row>
    <row r="685" customFormat="false" ht="15.75" hidden="false" customHeight="false" outlineLevel="0" collapsed="false">
      <c r="J685" s="48"/>
      <c r="K685" s="49"/>
      <c r="L685" s="49"/>
      <c r="N685" s="40"/>
    </row>
    <row r="686" customFormat="false" ht="15.75" hidden="false" customHeight="false" outlineLevel="0" collapsed="false">
      <c r="J686" s="48"/>
      <c r="K686" s="49"/>
      <c r="L686" s="49"/>
      <c r="N686" s="40"/>
    </row>
    <row r="687" customFormat="false" ht="15.75" hidden="false" customHeight="false" outlineLevel="0" collapsed="false">
      <c r="J687" s="48"/>
      <c r="K687" s="49"/>
      <c r="L687" s="49"/>
      <c r="N687" s="40"/>
    </row>
    <row r="688" customFormat="false" ht="15.75" hidden="false" customHeight="false" outlineLevel="0" collapsed="false">
      <c r="J688" s="48"/>
      <c r="K688" s="49"/>
      <c r="L688" s="49"/>
      <c r="N688" s="40"/>
    </row>
    <row r="689" customFormat="false" ht="15.75" hidden="false" customHeight="false" outlineLevel="0" collapsed="false">
      <c r="J689" s="48"/>
      <c r="K689" s="49"/>
      <c r="L689" s="49"/>
      <c r="N689" s="40"/>
    </row>
    <row r="690" customFormat="false" ht="15.75" hidden="false" customHeight="false" outlineLevel="0" collapsed="false">
      <c r="J690" s="48"/>
      <c r="K690" s="49"/>
      <c r="L690" s="49"/>
      <c r="N690" s="40"/>
    </row>
    <row r="691" customFormat="false" ht="15.75" hidden="false" customHeight="false" outlineLevel="0" collapsed="false">
      <c r="J691" s="48"/>
      <c r="K691" s="49"/>
      <c r="L691" s="49"/>
      <c r="N691" s="40"/>
    </row>
    <row r="692" customFormat="false" ht="15.75" hidden="false" customHeight="false" outlineLevel="0" collapsed="false">
      <c r="J692" s="48"/>
      <c r="K692" s="49"/>
      <c r="L692" s="49"/>
      <c r="N692" s="40"/>
    </row>
    <row r="693" customFormat="false" ht="15.75" hidden="false" customHeight="false" outlineLevel="0" collapsed="false">
      <c r="J693" s="48"/>
      <c r="K693" s="49"/>
      <c r="L693" s="49"/>
      <c r="N693" s="40"/>
    </row>
    <row r="694" customFormat="false" ht="15.75" hidden="false" customHeight="false" outlineLevel="0" collapsed="false">
      <c r="J694" s="48"/>
      <c r="K694" s="49"/>
      <c r="L694" s="49"/>
      <c r="N694" s="40"/>
    </row>
    <row r="695" customFormat="false" ht="15.75" hidden="false" customHeight="false" outlineLevel="0" collapsed="false">
      <c r="J695" s="48"/>
      <c r="K695" s="49"/>
      <c r="L695" s="49"/>
      <c r="N695" s="40"/>
    </row>
    <row r="696" customFormat="false" ht="15.75" hidden="false" customHeight="false" outlineLevel="0" collapsed="false">
      <c r="J696" s="48"/>
      <c r="K696" s="49"/>
      <c r="L696" s="49"/>
      <c r="N696" s="40"/>
    </row>
    <row r="697" customFormat="false" ht="15.75" hidden="false" customHeight="false" outlineLevel="0" collapsed="false">
      <c r="J697" s="48"/>
      <c r="K697" s="49"/>
      <c r="L697" s="49"/>
      <c r="N697" s="40"/>
    </row>
    <row r="698" customFormat="false" ht="15.75" hidden="false" customHeight="false" outlineLevel="0" collapsed="false">
      <c r="J698" s="48"/>
      <c r="K698" s="49"/>
      <c r="L698" s="49"/>
      <c r="N698" s="40"/>
    </row>
    <row r="699" customFormat="false" ht="15.75" hidden="false" customHeight="false" outlineLevel="0" collapsed="false">
      <c r="J699" s="48"/>
      <c r="K699" s="49"/>
      <c r="L699" s="49"/>
      <c r="N699" s="40"/>
    </row>
    <row r="700" customFormat="false" ht="15.75" hidden="false" customHeight="false" outlineLevel="0" collapsed="false">
      <c r="J700" s="48"/>
      <c r="K700" s="49"/>
      <c r="L700" s="49"/>
      <c r="N700" s="40"/>
    </row>
    <row r="701" customFormat="false" ht="15.75" hidden="false" customHeight="false" outlineLevel="0" collapsed="false">
      <c r="J701" s="48"/>
      <c r="K701" s="49"/>
      <c r="L701" s="49"/>
      <c r="N701" s="40"/>
    </row>
    <row r="702" customFormat="false" ht="15.75" hidden="false" customHeight="false" outlineLevel="0" collapsed="false">
      <c r="J702" s="48"/>
      <c r="K702" s="49"/>
      <c r="L702" s="49"/>
      <c r="N702" s="40"/>
    </row>
    <row r="703" customFormat="false" ht="15.75" hidden="false" customHeight="false" outlineLevel="0" collapsed="false">
      <c r="J703" s="48"/>
      <c r="K703" s="49"/>
      <c r="L703" s="49"/>
      <c r="N703" s="40"/>
    </row>
    <row r="704" customFormat="false" ht="15.75" hidden="false" customHeight="false" outlineLevel="0" collapsed="false">
      <c r="J704" s="48"/>
      <c r="K704" s="49"/>
      <c r="L704" s="49"/>
      <c r="N704" s="40"/>
    </row>
    <row r="705" customFormat="false" ht="15.75" hidden="false" customHeight="false" outlineLevel="0" collapsed="false">
      <c r="J705" s="48"/>
      <c r="K705" s="49"/>
      <c r="L705" s="49"/>
      <c r="N705" s="40"/>
    </row>
    <row r="706" customFormat="false" ht="15.75" hidden="false" customHeight="false" outlineLevel="0" collapsed="false">
      <c r="J706" s="48"/>
      <c r="K706" s="49"/>
      <c r="L706" s="49"/>
      <c r="N706" s="40"/>
    </row>
    <row r="707" customFormat="false" ht="15.75" hidden="false" customHeight="false" outlineLevel="0" collapsed="false">
      <c r="J707" s="48"/>
      <c r="K707" s="49"/>
      <c r="L707" s="49"/>
      <c r="N707" s="40"/>
    </row>
    <row r="708" customFormat="false" ht="15.75" hidden="false" customHeight="false" outlineLevel="0" collapsed="false">
      <c r="J708" s="48"/>
      <c r="K708" s="49"/>
      <c r="L708" s="49"/>
      <c r="N708" s="40"/>
    </row>
    <row r="709" customFormat="false" ht="15.75" hidden="false" customHeight="false" outlineLevel="0" collapsed="false">
      <c r="J709" s="48"/>
      <c r="K709" s="49"/>
      <c r="L709" s="49"/>
      <c r="N709" s="40"/>
    </row>
    <row r="710" customFormat="false" ht="15.75" hidden="false" customHeight="false" outlineLevel="0" collapsed="false">
      <c r="J710" s="48"/>
      <c r="K710" s="49"/>
      <c r="L710" s="49"/>
      <c r="N710" s="40"/>
    </row>
    <row r="711" customFormat="false" ht="15.75" hidden="false" customHeight="false" outlineLevel="0" collapsed="false">
      <c r="J711" s="48"/>
      <c r="K711" s="49"/>
      <c r="L711" s="49"/>
      <c r="N711" s="40"/>
    </row>
    <row r="712" customFormat="false" ht="15.75" hidden="false" customHeight="false" outlineLevel="0" collapsed="false">
      <c r="J712" s="48"/>
      <c r="K712" s="49"/>
      <c r="L712" s="49"/>
      <c r="N712" s="40"/>
    </row>
    <row r="713" customFormat="false" ht="15.75" hidden="false" customHeight="false" outlineLevel="0" collapsed="false">
      <c r="J713" s="48"/>
      <c r="K713" s="49"/>
      <c r="L713" s="49"/>
      <c r="N713" s="40"/>
    </row>
    <row r="714" customFormat="false" ht="15.75" hidden="false" customHeight="false" outlineLevel="0" collapsed="false">
      <c r="J714" s="48"/>
      <c r="K714" s="49"/>
      <c r="L714" s="49"/>
      <c r="N714" s="40"/>
    </row>
    <row r="715" customFormat="false" ht="15.75" hidden="false" customHeight="false" outlineLevel="0" collapsed="false">
      <c r="J715" s="48"/>
      <c r="K715" s="49"/>
      <c r="L715" s="49"/>
      <c r="N715" s="40"/>
    </row>
    <row r="716" customFormat="false" ht="15.75" hidden="false" customHeight="false" outlineLevel="0" collapsed="false">
      <c r="J716" s="48"/>
      <c r="K716" s="49"/>
      <c r="L716" s="49"/>
      <c r="N716" s="40"/>
    </row>
    <row r="717" customFormat="false" ht="15.75" hidden="false" customHeight="false" outlineLevel="0" collapsed="false">
      <c r="J717" s="48"/>
      <c r="K717" s="49"/>
      <c r="L717" s="49"/>
      <c r="N717" s="40"/>
    </row>
    <row r="718" customFormat="false" ht="15.75" hidden="false" customHeight="false" outlineLevel="0" collapsed="false">
      <c r="J718" s="48"/>
      <c r="K718" s="49"/>
      <c r="L718" s="49"/>
      <c r="N718" s="40"/>
    </row>
    <row r="719" customFormat="false" ht="15.75" hidden="false" customHeight="false" outlineLevel="0" collapsed="false">
      <c r="J719" s="48"/>
      <c r="K719" s="49"/>
      <c r="L719" s="49"/>
      <c r="N719" s="40"/>
    </row>
    <row r="720" customFormat="false" ht="15.75" hidden="false" customHeight="false" outlineLevel="0" collapsed="false">
      <c r="J720" s="48"/>
      <c r="K720" s="49"/>
      <c r="L720" s="49"/>
      <c r="N720" s="40"/>
    </row>
    <row r="721" customFormat="false" ht="15.75" hidden="false" customHeight="false" outlineLevel="0" collapsed="false">
      <c r="J721" s="48"/>
      <c r="K721" s="49"/>
      <c r="L721" s="49"/>
      <c r="N721" s="40"/>
    </row>
    <row r="722" customFormat="false" ht="15.75" hidden="false" customHeight="false" outlineLevel="0" collapsed="false">
      <c r="J722" s="48"/>
      <c r="K722" s="49"/>
      <c r="L722" s="49"/>
      <c r="N722" s="40"/>
    </row>
    <row r="723" customFormat="false" ht="15.75" hidden="false" customHeight="false" outlineLevel="0" collapsed="false">
      <c r="J723" s="48"/>
      <c r="K723" s="49"/>
      <c r="L723" s="49"/>
      <c r="N723" s="40"/>
    </row>
    <row r="724" customFormat="false" ht="15.75" hidden="false" customHeight="false" outlineLevel="0" collapsed="false">
      <c r="J724" s="48"/>
      <c r="K724" s="49"/>
      <c r="L724" s="49"/>
      <c r="N724" s="40"/>
    </row>
    <row r="725" customFormat="false" ht="15.75" hidden="false" customHeight="false" outlineLevel="0" collapsed="false">
      <c r="J725" s="48"/>
      <c r="K725" s="49"/>
      <c r="L725" s="49"/>
      <c r="N725" s="40"/>
    </row>
    <row r="726" customFormat="false" ht="15.75" hidden="false" customHeight="false" outlineLevel="0" collapsed="false">
      <c r="J726" s="48"/>
      <c r="K726" s="49"/>
      <c r="L726" s="49"/>
      <c r="N726" s="40"/>
    </row>
    <row r="727" customFormat="false" ht="15.75" hidden="false" customHeight="false" outlineLevel="0" collapsed="false">
      <c r="J727" s="48"/>
      <c r="K727" s="49"/>
      <c r="L727" s="49"/>
      <c r="N727" s="40"/>
    </row>
    <row r="728" customFormat="false" ht="15.75" hidden="false" customHeight="false" outlineLevel="0" collapsed="false">
      <c r="J728" s="48"/>
      <c r="K728" s="49"/>
      <c r="L728" s="49"/>
      <c r="N728" s="40"/>
    </row>
    <row r="729" customFormat="false" ht="15.75" hidden="false" customHeight="false" outlineLevel="0" collapsed="false">
      <c r="J729" s="48"/>
      <c r="K729" s="49"/>
      <c r="L729" s="49"/>
      <c r="N729" s="40"/>
    </row>
    <row r="730" customFormat="false" ht="15.75" hidden="false" customHeight="false" outlineLevel="0" collapsed="false">
      <c r="J730" s="48"/>
      <c r="K730" s="49"/>
      <c r="L730" s="49"/>
      <c r="N730" s="40"/>
    </row>
    <row r="731" customFormat="false" ht="15.75" hidden="false" customHeight="false" outlineLevel="0" collapsed="false">
      <c r="J731" s="48"/>
      <c r="K731" s="49"/>
      <c r="L731" s="49"/>
      <c r="N731" s="40"/>
    </row>
    <row r="732" customFormat="false" ht="15.75" hidden="false" customHeight="false" outlineLevel="0" collapsed="false">
      <c r="J732" s="48"/>
      <c r="K732" s="49"/>
      <c r="L732" s="49"/>
      <c r="N732" s="40"/>
    </row>
    <row r="733" customFormat="false" ht="15.75" hidden="false" customHeight="false" outlineLevel="0" collapsed="false">
      <c r="J733" s="48"/>
      <c r="K733" s="49"/>
      <c r="L733" s="49"/>
      <c r="N733" s="40"/>
    </row>
    <row r="734" customFormat="false" ht="15.75" hidden="false" customHeight="false" outlineLevel="0" collapsed="false">
      <c r="J734" s="48"/>
      <c r="K734" s="49"/>
      <c r="L734" s="49"/>
      <c r="N734" s="40"/>
    </row>
    <row r="735" customFormat="false" ht="15.75" hidden="false" customHeight="false" outlineLevel="0" collapsed="false">
      <c r="J735" s="48"/>
      <c r="K735" s="49"/>
      <c r="L735" s="49"/>
      <c r="N735" s="40"/>
    </row>
    <row r="736" customFormat="false" ht="15.75" hidden="false" customHeight="false" outlineLevel="0" collapsed="false">
      <c r="J736" s="48"/>
      <c r="K736" s="49"/>
      <c r="L736" s="49"/>
      <c r="N736" s="40"/>
    </row>
    <row r="737" customFormat="false" ht="15.75" hidden="false" customHeight="false" outlineLevel="0" collapsed="false">
      <c r="J737" s="48"/>
      <c r="K737" s="49"/>
      <c r="L737" s="49"/>
      <c r="N737" s="40"/>
    </row>
    <row r="738" customFormat="false" ht="15.75" hidden="false" customHeight="false" outlineLevel="0" collapsed="false">
      <c r="J738" s="48"/>
      <c r="K738" s="49"/>
      <c r="L738" s="49"/>
      <c r="N738" s="40"/>
    </row>
    <row r="739" customFormat="false" ht="15.75" hidden="false" customHeight="false" outlineLevel="0" collapsed="false">
      <c r="J739" s="48"/>
      <c r="K739" s="49"/>
      <c r="L739" s="49"/>
      <c r="N739" s="40"/>
    </row>
    <row r="740" customFormat="false" ht="15.75" hidden="false" customHeight="false" outlineLevel="0" collapsed="false">
      <c r="J740" s="48"/>
      <c r="K740" s="49"/>
      <c r="L740" s="49"/>
      <c r="N740" s="40"/>
    </row>
    <row r="741" customFormat="false" ht="15.75" hidden="false" customHeight="false" outlineLevel="0" collapsed="false">
      <c r="J741" s="48"/>
      <c r="K741" s="49"/>
      <c r="L741" s="49"/>
      <c r="N741" s="40"/>
    </row>
    <row r="742" customFormat="false" ht="15.75" hidden="false" customHeight="false" outlineLevel="0" collapsed="false">
      <c r="J742" s="48"/>
      <c r="K742" s="49"/>
      <c r="L742" s="49"/>
      <c r="N742" s="40"/>
    </row>
    <row r="743" customFormat="false" ht="15.75" hidden="false" customHeight="false" outlineLevel="0" collapsed="false">
      <c r="J743" s="48"/>
      <c r="K743" s="49"/>
      <c r="L743" s="49"/>
      <c r="N743" s="40"/>
    </row>
    <row r="744" customFormat="false" ht="15.75" hidden="false" customHeight="false" outlineLevel="0" collapsed="false">
      <c r="J744" s="48"/>
      <c r="K744" s="49"/>
      <c r="L744" s="49"/>
      <c r="N744" s="40"/>
    </row>
    <row r="745" customFormat="false" ht="15.75" hidden="false" customHeight="false" outlineLevel="0" collapsed="false">
      <c r="J745" s="48"/>
      <c r="K745" s="49"/>
      <c r="L745" s="49"/>
      <c r="N745" s="40"/>
    </row>
    <row r="746" customFormat="false" ht="15.75" hidden="false" customHeight="false" outlineLevel="0" collapsed="false">
      <c r="J746" s="48"/>
      <c r="K746" s="49"/>
      <c r="L746" s="49"/>
      <c r="N746" s="40"/>
    </row>
    <row r="747" customFormat="false" ht="15.75" hidden="false" customHeight="false" outlineLevel="0" collapsed="false">
      <c r="J747" s="48"/>
      <c r="K747" s="49"/>
      <c r="L747" s="49"/>
      <c r="N747" s="40"/>
    </row>
    <row r="748" customFormat="false" ht="15.75" hidden="false" customHeight="false" outlineLevel="0" collapsed="false">
      <c r="J748" s="48"/>
      <c r="K748" s="49"/>
      <c r="L748" s="49"/>
      <c r="N748" s="40"/>
    </row>
    <row r="749" customFormat="false" ht="15.75" hidden="false" customHeight="false" outlineLevel="0" collapsed="false">
      <c r="J749" s="48"/>
      <c r="K749" s="49"/>
      <c r="L749" s="49"/>
      <c r="N749" s="40"/>
    </row>
    <row r="750" customFormat="false" ht="15.75" hidden="false" customHeight="false" outlineLevel="0" collapsed="false">
      <c r="J750" s="48"/>
      <c r="K750" s="49"/>
      <c r="L750" s="49"/>
      <c r="N750" s="40"/>
    </row>
    <row r="751" customFormat="false" ht="15.75" hidden="false" customHeight="false" outlineLevel="0" collapsed="false">
      <c r="J751" s="48"/>
      <c r="K751" s="49"/>
      <c r="L751" s="49"/>
      <c r="N751" s="40"/>
    </row>
    <row r="752" customFormat="false" ht="15.75" hidden="false" customHeight="false" outlineLevel="0" collapsed="false">
      <c r="J752" s="48"/>
      <c r="K752" s="49"/>
      <c r="L752" s="49"/>
      <c r="N752" s="40"/>
    </row>
    <row r="753" customFormat="false" ht="15.75" hidden="false" customHeight="false" outlineLevel="0" collapsed="false">
      <c r="J753" s="48"/>
      <c r="K753" s="49"/>
      <c r="L753" s="49"/>
      <c r="N753" s="40"/>
    </row>
    <row r="754" customFormat="false" ht="15.75" hidden="false" customHeight="false" outlineLevel="0" collapsed="false">
      <c r="J754" s="48"/>
      <c r="K754" s="49"/>
      <c r="L754" s="49"/>
      <c r="N754" s="40"/>
    </row>
    <row r="755" customFormat="false" ht="15.75" hidden="false" customHeight="false" outlineLevel="0" collapsed="false">
      <c r="J755" s="48"/>
      <c r="K755" s="49"/>
      <c r="L755" s="49"/>
      <c r="N755" s="40"/>
    </row>
    <row r="756" customFormat="false" ht="15.75" hidden="false" customHeight="false" outlineLevel="0" collapsed="false">
      <c r="J756" s="48"/>
      <c r="K756" s="49"/>
      <c r="L756" s="49"/>
      <c r="N756" s="40"/>
    </row>
    <row r="757" customFormat="false" ht="15.75" hidden="false" customHeight="false" outlineLevel="0" collapsed="false">
      <c r="J757" s="48"/>
      <c r="K757" s="49"/>
      <c r="L757" s="49"/>
      <c r="N757" s="40"/>
    </row>
    <row r="758" customFormat="false" ht="15.75" hidden="false" customHeight="false" outlineLevel="0" collapsed="false">
      <c r="J758" s="48"/>
      <c r="K758" s="49"/>
      <c r="L758" s="49"/>
      <c r="N758" s="40"/>
    </row>
    <row r="759" customFormat="false" ht="15.75" hidden="false" customHeight="false" outlineLevel="0" collapsed="false">
      <c r="J759" s="48"/>
      <c r="K759" s="49"/>
      <c r="L759" s="49"/>
      <c r="N759" s="40"/>
    </row>
    <row r="760" customFormat="false" ht="15.75" hidden="false" customHeight="false" outlineLevel="0" collapsed="false">
      <c r="J760" s="48"/>
      <c r="K760" s="49"/>
      <c r="L760" s="49"/>
      <c r="N760" s="40"/>
    </row>
    <row r="761" customFormat="false" ht="15.75" hidden="false" customHeight="false" outlineLevel="0" collapsed="false">
      <c r="J761" s="48"/>
      <c r="K761" s="49"/>
      <c r="L761" s="49"/>
      <c r="N761" s="40"/>
    </row>
    <row r="762" customFormat="false" ht="15.75" hidden="false" customHeight="false" outlineLevel="0" collapsed="false">
      <c r="J762" s="48"/>
      <c r="K762" s="49"/>
      <c r="L762" s="49"/>
      <c r="N762" s="40"/>
    </row>
    <row r="763" customFormat="false" ht="15.75" hidden="false" customHeight="false" outlineLevel="0" collapsed="false">
      <c r="J763" s="48"/>
      <c r="K763" s="49"/>
      <c r="L763" s="49"/>
      <c r="N763" s="40"/>
    </row>
    <row r="764" customFormat="false" ht="15.75" hidden="false" customHeight="false" outlineLevel="0" collapsed="false">
      <c r="J764" s="48"/>
      <c r="K764" s="49"/>
      <c r="L764" s="49"/>
      <c r="N764" s="40"/>
    </row>
    <row r="765" customFormat="false" ht="15.75" hidden="false" customHeight="false" outlineLevel="0" collapsed="false">
      <c r="J765" s="48"/>
      <c r="K765" s="49"/>
      <c r="L765" s="49"/>
      <c r="N765" s="40"/>
    </row>
    <row r="766" customFormat="false" ht="15.75" hidden="false" customHeight="false" outlineLevel="0" collapsed="false">
      <c r="J766" s="48"/>
      <c r="K766" s="49"/>
      <c r="L766" s="49"/>
      <c r="N766" s="40"/>
    </row>
    <row r="767" customFormat="false" ht="15.75" hidden="false" customHeight="false" outlineLevel="0" collapsed="false">
      <c r="J767" s="48"/>
      <c r="K767" s="49"/>
      <c r="L767" s="49"/>
      <c r="N767" s="40"/>
    </row>
    <row r="768" customFormat="false" ht="15.75" hidden="false" customHeight="false" outlineLevel="0" collapsed="false">
      <c r="J768" s="48"/>
      <c r="K768" s="49"/>
      <c r="L768" s="49"/>
      <c r="N768" s="40"/>
    </row>
    <row r="769" customFormat="false" ht="15.75" hidden="false" customHeight="false" outlineLevel="0" collapsed="false">
      <c r="J769" s="48"/>
      <c r="K769" s="49"/>
      <c r="L769" s="49"/>
      <c r="N769" s="40"/>
    </row>
    <row r="770" customFormat="false" ht="15.75" hidden="false" customHeight="false" outlineLevel="0" collapsed="false">
      <c r="J770" s="48"/>
      <c r="K770" s="49"/>
      <c r="L770" s="49"/>
      <c r="N770" s="40"/>
    </row>
    <row r="771" customFormat="false" ht="15.75" hidden="false" customHeight="false" outlineLevel="0" collapsed="false">
      <c r="J771" s="48"/>
      <c r="K771" s="49"/>
      <c r="L771" s="49"/>
      <c r="N771" s="40"/>
    </row>
    <row r="772" customFormat="false" ht="15.75" hidden="false" customHeight="false" outlineLevel="0" collapsed="false">
      <c r="J772" s="48"/>
      <c r="K772" s="49"/>
      <c r="L772" s="49"/>
      <c r="N772" s="40"/>
    </row>
    <row r="773" customFormat="false" ht="15.75" hidden="false" customHeight="false" outlineLevel="0" collapsed="false">
      <c r="J773" s="48"/>
      <c r="K773" s="49"/>
      <c r="L773" s="49"/>
      <c r="N773" s="40"/>
    </row>
    <row r="774" customFormat="false" ht="15.75" hidden="false" customHeight="false" outlineLevel="0" collapsed="false">
      <c r="J774" s="48"/>
      <c r="K774" s="49"/>
      <c r="L774" s="49"/>
      <c r="N774" s="40"/>
    </row>
    <row r="775" customFormat="false" ht="15.75" hidden="false" customHeight="false" outlineLevel="0" collapsed="false">
      <c r="J775" s="48"/>
      <c r="K775" s="49"/>
      <c r="L775" s="49"/>
      <c r="N775" s="40"/>
    </row>
    <row r="776" customFormat="false" ht="15.75" hidden="false" customHeight="false" outlineLevel="0" collapsed="false">
      <c r="J776" s="48"/>
      <c r="K776" s="49"/>
      <c r="L776" s="49"/>
      <c r="N776" s="40"/>
    </row>
    <row r="777" customFormat="false" ht="15.75" hidden="false" customHeight="false" outlineLevel="0" collapsed="false">
      <c r="J777" s="48"/>
      <c r="K777" s="49"/>
      <c r="L777" s="49"/>
      <c r="N777" s="40"/>
    </row>
    <row r="778" customFormat="false" ht="15.75" hidden="false" customHeight="false" outlineLevel="0" collapsed="false">
      <c r="J778" s="48"/>
      <c r="K778" s="49"/>
      <c r="L778" s="49"/>
      <c r="N778" s="40"/>
    </row>
    <row r="779" customFormat="false" ht="15.75" hidden="false" customHeight="false" outlineLevel="0" collapsed="false">
      <c r="J779" s="48"/>
      <c r="K779" s="49"/>
      <c r="L779" s="49"/>
      <c r="N779" s="40"/>
    </row>
    <row r="780" customFormat="false" ht="15.75" hidden="false" customHeight="false" outlineLevel="0" collapsed="false">
      <c r="J780" s="48"/>
      <c r="K780" s="49"/>
      <c r="L780" s="49"/>
      <c r="N780" s="40"/>
    </row>
    <row r="781" customFormat="false" ht="15.75" hidden="false" customHeight="false" outlineLevel="0" collapsed="false">
      <c r="J781" s="48"/>
      <c r="K781" s="49"/>
      <c r="L781" s="49"/>
      <c r="N781" s="40"/>
    </row>
    <row r="782" customFormat="false" ht="15.75" hidden="false" customHeight="false" outlineLevel="0" collapsed="false">
      <c r="J782" s="48"/>
      <c r="K782" s="49"/>
      <c r="L782" s="49"/>
      <c r="N782" s="40"/>
    </row>
    <row r="783" customFormat="false" ht="15.75" hidden="false" customHeight="false" outlineLevel="0" collapsed="false">
      <c r="J783" s="48"/>
      <c r="K783" s="49"/>
      <c r="L783" s="49"/>
      <c r="N783" s="40"/>
    </row>
    <row r="784" customFormat="false" ht="15.75" hidden="false" customHeight="false" outlineLevel="0" collapsed="false">
      <c r="J784" s="48"/>
      <c r="K784" s="49"/>
      <c r="L784" s="49"/>
      <c r="N784" s="40"/>
    </row>
    <row r="785" customFormat="false" ht="15.75" hidden="false" customHeight="false" outlineLevel="0" collapsed="false">
      <c r="J785" s="48"/>
      <c r="K785" s="49"/>
      <c r="L785" s="49"/>
      <c r="N785" s="40"/>
    </row>
    <row r="786" customFormat="false" ht="15.75" hidden="false" customHeight="false" outlineLevel="0" collapsed="false">
      <c r="J786" s="48"/>
      <c r="K786" s="49"/>
      <c r="L786" s="49"/>
      <c r="N786" s="40"/>
    </row>
    <row r="787" customFormat="false" ht="15.75" hidden="false" customHeight="false" outlineLevel="0" collapsed="false">
      <c r="J787" s="48"/>
      <c r="K787" s="49"/>
      <c r="L787" s="49"/>
      <c r="N787" s="40"/>
    </row>
    <row r="788" customFormat="false" ht="15.75" hidden="false" customHeight="false" outlineLevel="0" collapsed="false">
      <c r="J788" s="48"/>
      <c r="K788" s="49"/>
      <c r="L788" s="49"/>
      <c r="N788" s="40"/>
    </row>
    <row r="789" customFormat="false" ht="15.75" hidden="false" customHeight="false" outlineLevel="0" collapsed="false">
      <c r="J789" s="48"/>
      <c r="K789" s="49"/>
      <c r="L789" s="49"/>
      <c r="N789" s="40"/>
    </row>
    <row r="790" customFormat="false" ht="15.75" hidden="false" customHeight="false" outlineLevel="0" collapsed="false">
      <c r="J790" s="48"/>
      <c r="K790" s="49"/>
      <c r="L790" s="49"/>
      <c r="N790" s="40"/>
    </row>
    <row r="791" customFormat="false" ht="15.75" hidden="false" customHeight="false" outlineLevel="0" collapsed="false">
      <c r="J791" s="48"/>
      <c r="K791" s="49"/>
      <c r="L791" s="49"/>
      <c r="N791" s="40"/>
    </row>
    <row r="792" customFormat="false" ht="15.75" hidden="false" customHeight="false" outlineLevel="0" collapsed="false">
      <c r="J792" s="48"/>
      <c r="K792" s="49"/>
      <c r="L792" s="49"/>
      <c r="N792" s="40"/>
    </row>
    <row r="793" customFormat="false" ht="15.75" hidden="false" customHeight="false" outlineLevel="0" collapsed="false">
      <c r="J793" s="48"/>
      <c r="K793" s="49"/>
      <c r="L793" s="49"/>
      <c r="N793" s="40"/>
    </row>
    <row r="794" customFormat="false" ht="15.75" hidden="false" customHeight="false" outlineLevel="0" collapsed="false">
      <c r="J794" s="48"/>
      <c r="K794" s="49"/>
      <c r="L794" s="49"/>
      <c r="N794" s="40"/>
    </row>
    <row r="795" customFormat="false" ht="15.75" hidden="false" customHeight="false" outlineLevel="0" collapsed="false">
      <c r="J795" s="48"/>
      <c r="K795" s="49"/>
      <c r="L795" s="49"/>
      <c r="N795" s="40"/>
    </row>
    <row r="796" customFormat="false" ht="15.75" hidden="false" customHeight="false" outlineLevel="0" collapsed="false">
      <c r="J796" s="48"/>
      <c r="K796" s="49"/>
      <c r="L796" s="49"/>
      <c r="N796" s="40"/>
    </row>
    <row r="797" customFormat="false" ht="15.75" hidden="false" customHeight="false" outlineLevel="0" collapsed="false">
      <c r="J797" s="48"/>
      <c r="K797" s="49"/>
      <c r="L797" s="49"/>
      <c r="N797" s="40"/>
    </row>
    <row r="798" customFormat="false" ht="15.75" hidden="false" customHeight="false" outlineLevel="0" collapsed="false">
      <c r="J798" s="48"/>
      <c r="K798" s="49"/>
      <c r="L798" s="49"/>
      <c r="N798" s="40"/>
    </row>
    <row r="799" customFormat="false" ht="15.75" hidden="false" customHeight="false" outlineLevel="0" collapsed="false">
      <c r="J799" s="48"/>
      <c r="K799" s="49"/>
      <c r="L799" s="49"/>
      <c r="N799" s="40"/>
    </row>
    <row r="800" customFormat="false" ht="15.75" hidden="false" customHeight="false" outlineLevel="0" collapsed="false">
      <c r="J800" s="48"/>
      <c r="K800" s="49"/>
      <c r="L800" s="49"/>
      <c r="N800" s="40"/>
    </row>
    <row r="801" customFormat="false" ht="15.75" hidden="false" customHeight="false" outlineLevel="0" collapsed="false">
      <c r="J801" s="48"/>
      <c r="K801" s="49"/>
      <c r="L801" s="49"/>
      <c r="N801" s="40"/>
    </row>
    <row r="802" customFormat="false" ht="15.75" hidden="false" customHeight="false" outlineLevel="0" collapsed="false">
      <c r="J802" s="48"/>
      <c r="K802" s="49"/>
      <c r="L802" s="49"/>
      <c r="N802" s="40"/>
    </row>
    <row r="803" customFormat="false" ht="15.75" hidden="false" customHeight="false" outlineLevel="0" collapsed="false">
      <c r="J803" s="48"/>
      <c r="K803" s="49"/>
      <c r="L803" s="49"/>
      <c r="N803" s="40"/>
    </row>
    <row r="804" customFormat="false" ht="15.75" hidden="false" customHeight="false" outlineLevel="0" collapsed="false">
      <c r="J804" s="48"/>
      <c r="K804" s="49"/>
      <c r="L804" s="49"/>
      <c r="N804" s="40"/>
    </row>
    <row r="805" customFormat="false" ht="15.75" hidden="false" customHeight="false" outlineLevel="0" collapsed="false">
      <c r="J805" s="48"/>
      <c r="K805" s="49"/>
      <c r="L805" s="49"/>
      <c r="N805" s="40"/>
    </row>
    <row r="806" customFormat="false" ht="15.75" hidden="false" customHeight="false" outlineLevel="0" collapsed="false">
      <c r="J806" s="48"/>
      <c r="K806" s="49"/>
      <c r="L806" s="49"/>
      <c r="N806" s="40"/>
    </row>
    <row r="807" customFormat="false" ht="15.75" hidden="false" customHeight="false" outlineLevel="0" collapsed="false">
      <c r="J807" s="48"/>
      <c r="K807" s="49"/>
      <c r="L807" s="49"/>
      <c r="N807" s="40"/>
    </row>
    <row r="808" customFormat="false" ht="15.75" hidden="false" customHeight="false" outlineLevel="0" collapsed="false">
      <c r="J808" s="48"/>
      <c r="K808" s="49"/>
      <c r="L808" s="49"/>
      <c r="N808" s="40"/>
    </row>
    <row r="809" customFormat="false" ht="15.75" hidden="false" customHeight="false" outlineLevel="0" collapsed="false">
      <c r="J809" s="48"/>
      <c r="K809" s="49"/>
      <c r="L809" s="49"/>
      <c r="N809" s="40"/>
    </row>
    <row r="810" customFormat="false" ht="15.75" hidden="false" customHeight="false" outlineLevel="0" collapsed="false">
      <c r="J810" s="48"/>
      <c r="K810" s="49"/>
      <c r="L810" s="49"/>
      <c r="N810" s="40"/>
    </row>
    <row r="811" customFormat="false" ht="15.75" hidden="false" customHeight="false" outlineLevel="0" collapsed="false">
      <c r="J811" s="48"/>
      <c r="K811" s="49"/>
      <c r="L811" s="49"/>
      <c r="N811" s="40"/>
    </row>
    <row r="812" customFormat="false" ht="15.75" hidden="false" customHeight="false" outlineLevel="0" collapsed="false">
      <c r="J812" s="48"/>
      <c r="K812" s="49"/>
      <c r="L812" s="49"/>
      <c r="N812" s="40"/>
    </row>
    <row r="813" customFormat="false" ht="15.75" hidden="false" customHeight="false" outlineLevel="0" collapsed="false">
      <c r="J813" s="48"/>
      <c r="K813" s="49"/>
      <c r="L813" s="49"/>
      <c r="N813" s="40"/>
    </row>
    <row r="814" customFormat="false" ht="15.75" hidden="false" customHeight="false" outlineLevel="0" collapsed="false">
      <c r="J814" s="48"/>
      <c r="K814" s="49"/>
      <c r="L814" s="49"/>
      <c r="N814" s="40"/>
    </row>
    <row r="815" customFormat="false" ht="15.75" hidden="false" customHeight="false" outlineLevel="0" collapsed="false">
      <c r="J815" s="48"/>
      <c r="K815" s="49"/>
      <c r="L815" s="49"/>
      <c r="N815" s="40"/>
    </row>
    <row r="816" customFormat="false" ht="15.75" hidden="false" customHeight="false" outlineLevel="0" collapsed="false">
      <c r="J816" s="48"/>
      <c r="K816" s="49"/>
      <c r="L816" s="49"/>
      <c r="N816" s="40"/>
    </row>
    <row r="817" customFormat="false" ht="15.75" hidden="false" customHeight="false" outlineLevel="0" collapsed="false">
      <c r="J817" s="48"/>
      <c r="K817" s="49"/>
      <c r="L817" s="49"/>
      <c r="N817" s="40"/>
    </row>
    <row r="818" customFormat="false" ht="15.75" hidden="false" customHeight="false" outlineLevel="0" collapsed="false">
      <c r="J818" s="48"/>
      <c r="K818" s="49"/>
      <c r="L818" s="49"/>
      <c r="N818" s="40"/>
    </row>
    <row r="819" customFormat="false" ht="15.75" hidden="false" customHeight="false" outlineLevel="0" collapsed="false">
      <c r="J819" s="48"/>
      <c r="K819" s="49"/>
      <c r="L819" s="49"/>
      <c r="N819" s="40"/>
    </row>
    <row r="820" customFormat="false" ht="15.75" hidden="false" customHeight="false" outlineLevel="0" collapsed="false">
      <c r="J820" s="48"/>
      <c r="K820" s="49"/>
      <c r="L820" s="49"/>
      <c r="N820" s="40"/>
    </row>
    <row r="821" customFormat="false" ht="15.75" hidden="false" customHeight="false" outlineLevel="0" collapsed="false">
      <c r="J821" s="48"/>
      <c r="K821" s="49"/>
      <c r="L821" s="49"/>
      <c r="N821" s="40"/>
    </row>
    <row r="822" customFormat="false" ht="15.75" hidden="false" customHeight="false" outlineLevel="0" collapsed="false">
      <c r="J822" s="48"/>
      <c r="K822" s="49"/>
      <c r="L822" s="49"/>
      <c r="N822" s="40"/>
    </row>
    <row r="823" customFormat="false" ht="15.75" hidden="false" customHeight="false" outlineLevel="0" collapsed="false">
      <c r="J823" s="48"/>
      <c r="K823" s="49"/>
      <c r="L823" s="49"/>
      <c r="N823" s="40"/>
    </row>
    <row r="824" customFormat="false" ht="15.75" hidden="false" customHeight="false" outlineLevel="0" collapsed="false">
      <c r="J824" s="48"/>
      <c r="K824" s="49"/>
      <c r="L824" s="49"/>
      <c r="N824" s="40"/>
    </row>
    <row r="825" customFormat="false" ht="15.75" hidden="false" customHeight="false" outlineLevel="0" collapsed="false">
      <c r="J825" s="48"/>
      <c r="K825" s="49"/>
      <c r="L825" s="49"/>
      <c r="N825" s="40"/>
    </row>
    <row r="826" customFormat="false" ht="15.75" hidden="false" customHeight="false" outlineLevel="0" collapsed="false">
      <c r="J826" s="48"/>
      <c r="K826" s="49"/>
      <c r="L826" s="49"/>
      <c r="N826" s="40"/>
    </row>
    <row r="827" customFormat="false" ht="15.75" hidden="false" customHeight="false" outlineLevel="0" collapsed="false">
      <c r="J827" s="48"/>
      <c r="K827" s="49"/>
      <c r="L827" s="49"/>
      <c r="N827" s="40"/>
    </row>
    <row r="828" customFormat="false" ht="15.75" hidden="false" customHeight="false" outlineLevel="0" collapsed="false">
      <c r="J828" s="48"/>
      <c r="K828" s="49"/>
      <c r="L828" s="49"/>
      <c r="N828" s="40"/>
    </row>
    <row r="829" customFormat="false" ht="15.75" hidden="false" customHeight="false" outlineLevel="0" collapsed="false">
      <c r="J829" s="48"/>
      <c r="K829" s="49"/>
      <c r="L829" s="49"/>
      <c r="N829" s="40"/>
    </row>
    <row r="830" customFormat="false" ht="15.75" hidden="false" customHeight="false" outlineLevel="0" collapsed="false">
      <c r="J830" s="48"/>
      <c r="K830" s="49"/>
      <c r="L830" s="49"/>
      <c r="N830" s="40"/>
    </row>
    <row r="831" customFormat="false" ht="15.75" hidden="false" customHeight="false" outlineLevel="0" collapsed="false">
      <c r="J831" s="48"/>
      <c r="K831" s="49"/>
      <c r="L831" s="49"/>
      <c r="N831" s="40"/>
    </row>
    <row r="832" customFormat="false" ht="15.75" hidden="false" customHeight="false" outlineLevel="0" collapsed="false">
      <c r="J832" s="48"/>
      <c r="K832" s="49"/>
      <c r="L832" s="49"/>
      <c r="N832" s="40"/>
    </row>
    <row r="833" customFormat="false" ht="15.75" hidden="false" customHeight="false" outlineLevel="0" collapsed="false">
      <c r="J833" s="48"/>
      <c r="K833" s="49"/>
      <c r="L833" s="49"/>
      <c r="N833" s="40"/>
    </row>
    <row r="834" customFormat="false" ht="15.75" hidden="false" customHeight="false" outlineLevel="0" collapsed="false">
      <c r="J834" s="48"/>
      <c r="K834" s="49"/>
      <c r="L834" s="49"/>
      <c r="N834" s="40"/>
    </row>
    <row r="835" customFormat="false" ht="15.75" hidden="false" customHeight="false" outlineLevel="0" collapsed="false">
      <c r="J835" s="48"/>
      <c r="K835" s="49"/>
      <c r="L835" s="49"/>
      <c r="N835" s="40"/>
    </row>
    <row r="836" customFormat="false" ht="15.75" hidden="false" customHeight="false" outlineLevel="0" collapsed="false">
      <c r="J836" s="48"/>
      <c r="K836" s="49"/>
      <c r="L836" s="49"/>
      <c r="N836" s="40"/>
    </row>
    <row r="837" customFormat="false" ht="15.75" hidden="false" customHeight="false" outlineLevel="0" collapsed="false">
      <c r="J837" s="48"/>
      <c r="K837" s="49"/>
      <c r="L837" s="49"/>
      <c r="N837" s="40"/>
    </row>
    <row r="838" customFormat="false" ht="15.75" hidden="false" customHeight="false" outlineLevel="0" collapsed="false">
      <c r="J838" s="48"/>
      <c r="K838" s="49"/>
      <c r="L838" s="49"/>
      <c r="N838" s="40"/>
    </row>
    <row r="839" customFormat="false" ht="15.75" hidden="false" customHeight="false" outlineLevel="0" collapsed="false">
      <c r="J839" s="48"/>
      <c r="K839" s="49"/>
      <c r="L839" s="49"/>
      <c r="N839" s="40"/>
    </row>
    <row r="840" customFormat="false" ht="15.75" hidden="false" customHeight="false" outlineLevel="0" collapsed="false">
      <c r="J840" s="48"/>
      <c r="K840" s="49"/>
      <c r="L840" s="49"/>
      <c r="N840" s="40"/>
    </row>
    <row r="841" customFormat="false" ht="15.75" hidden="false" customHeight="false" outlineLevel="0" collapsed="false">
      <c r="J841" s="48"/>
      <c r="K841" s="49"/>
      <c r="L841" s="49"/>
      <c r="N841" s="40"/>
    </row>
    <row r="842" customFormat="false" ht="15.75" hidden="false" customHeight="false" outlineLevel="0" collapsed="false">
      <c r="J842" s="48"/>
      <c r="K842" s="49"/>
      <c r="L842" s="49"/>
      <c r="N842" s="40"/>
    </row>
    <row r="843" customFormat="false" ht="15.75" hidden="false" customHeight="false" outlineLevel="0" collapsed="false">
      <c r="J843" s="48"/>
      <c r="K843" s="49"/>
      <c r="L843" s="49"/>
      <c r="N843" s="40"/>
    </row>
    <row r="844" customFormat="false" ht="15.75" hidden="false" customHeight="false" outlineLevel="0" collapsed="false">
      <c r="J844" s="48"/>
      <c r="K844" s="49"/>
      <c r="L844" s="49"/>
      <c r="N844" s="40"/>
    </row>
    <row r="845" customFormat="false" ht="15.75" hidden="false" customHeight="false" outlineLevel="0" collapsed="false">
      <c r="J845" s="48"/>
      <c r="K845" s="49"/>
      <c r="L845" s="49"/>
      <c r="N845" s="40"/>
    </row>
    <row r="846" customFormat="false" ht="15.75" hidden="false" customHeight="false" outlineLevel="0" collapsed="false">
      <c r="J846" s="48"/>
      <c r="K846" s="49"/>
      <c r="L846" s="49"/>
      <c r="N846" s="40"/>
    </row>
    <row r="847" customFormat="false" ht="15.75" hidden="false" customHeight="false" outlineLevel="0" collapsed="false">
      <c r="J847" s="48"/>
      <c r="K847" s="49"/>
      <c r="L847" s="49"/>
      <c r="N847" s="40"/>
    </row>
    <row r="848" customFormat="false" ht="15.75" hidden="false" customHeight="false" outlineLevel="0" collapsed="false">
      <c r="J848" s="48"/>
      <c r="K848" s="49"/>
      <c r="L848" s="49"/>
      <c r="N848" s="40"/>
    </row>
    <row r="849" customFormat="false" ht="15.75" hidden="false" customHeight="false" outlineLevel="0" collapsed="false">
      <c r="J849" s="48"/>
      <c r="K849" s="49"/>
      <c r="L849" s="49"/>
      <c r="N849" s="40"/>
    </row>
    <row r="850" customFormat="false" ht="15.75" hidden="false" customHeight="false" outlineLevel="0" collapsed="false">
      <c r="J850" s="48"/>
      <c r="K850" s="49"/>
      <c r="L850" s="49"/>
      <c r="N850" s="40"/>
    </row>
    <row r="851" customFormat="false" ht="15.75" hidden="false" customHeight="false" outlineLevel="0" collapsed="false">
      <c r="J851" s="48"/>
      <c r="K851" s="49"/>
      <c r="L851" s="49"/>
      <c r="N851" s="40"/>
    </row>
    <row r="852" customFormat="false" ht="15.75" hidden="false" customHeight="false" outlineLevel="0" collapsed="false">
      <c r="J852" s="48"/>
      <c r="K852" s="49"/>
      <c r="L852" s="49"/>
      <c r="N852" s="40"/>
    </row>
    <row r="853" customFormat="false" ht="15.75" hidden="false" customHeight="false" outlineLevel="0" collapsed="false">
      <c r="J853" s="48"/>
      <c r="K853" s="49"/>
      <c r="L853" s="49"/>
      <c r="N853" s="40"/>
    </row>
    <row r="854" customFormat="false" ht="15.75" hidden="false" customHeight="false" outlineLevel="0" collapsed="false">
      <c r="J854" s="48"/>
      <c r="K854" s="49"/>
      <c r="L854" s="49"/>
      <c r="N854" s="40"/>
    </row>
    <row r="855" customFormat="false" ht="15.75" hidden="false" customHeight="false" outlineLevel="0" collapsed="false">
      <c r="J855" s="48"/>
      <c r="K855" s="49"/>
      <c r="L855" s="49"/>
      <c r="N855" s="40"/>
    </row>
    <row r="856" customFormat="false" ht="15.75" hidden="false" customHeight="false" outlineLevel="0" collapsed="false">
      <c r="J856" s="48"/>
      <c r="K856" s="49"/>
      <c r="L856" s="49"/>
      <c r="N856" s="40"/>
    </row>
    <row r="857" customFormat="false" ht="15.75" hidden="false" customHeight="false" outlineLevel="0" collapsed="false">
      <c r="J857" s="48"/>
      <c r="K857" s="49"/>
      <c r="L857" s="49"/>
      <c r="N857" s="40"/>
    </row>
    <row r="858" customFormat="false" ht="15.75" hidden="false" customHeight="false" outlineLevel="0" collapsed="false">
      <c r="J858" s="48"/>
      <c r="K858" s="49"/>
      <c r="L858" s="49"/>
      <c r="N858" s="40"/>
    </row>
    <row r="859" customFormat="false" ht="15.75" hidden="false" customHeight="false" outlineLevel="0" collapsed="false">
      <c r="J859" s="48"/>
      <c r="K859" s="49"/>
      <c r="L859" s="49"/>
      <c r="N859" s="40"/>
    </row>
    <row r="860" customFormat="false" ht="15.75" hidden="false" customHeight="false" outlineLevel="0" collapsed="false">
      <c r="J860" s="48"/>
      <c r="K860" s="49"/>
      <c r="L860" s="49"/>
      <c r="N860" s="40"/>
    </row>
    <row r="861" customFormat="false" ht="15.75" hidden="false" customHeight="false" outlineLevel="0" collapsed="false">
      <c r="J861" s="48"/>
      <c r="K861" s="49"/>
      <c r="L861" s="49"/>
      <c r="N861" s="40"/>
    </row>
    <row r="862" customFormat="false" ht="15.75" hidden="false" customHeight="false" outlineLevel="0" collapsed="false">
      <c r="J862" s="48"/>
      <c r="K862" s="49"/>
      <c r="L862" s="49"/>
      <c r="N862" s="40"/>
    </row>
    <row r="863" customFormat="false" ht="15.75" hidden="false" customHeight="false" outlineLevel="0" collapsed="false">
      <c r="J863" s="48"/>
      <c r="K863" s="49"/>
      <c r="L863" s="49"/>
      <c r="N863" s="40"/>
    </row>
    <row r="864" customFormat="false" ht="15.75" hidden="false" customHeight="false" outlineLevel="0" collapsed="false">
      <c r="J864" s="48"/>
      <c r="K864" s="49"/>
      <c r="L864" s="49"/>
      <c r="N864" s="40"/>
    </row>
    <row r="865" customFormat="false" ht="15.75" hidden="false" customHeight="false" outlineLevel="0" collapsed="false">
      <c r="J865" s="48"/>
      <c r="K865" s="49"/>
      <c r="L865" s="49"/>
      <c r="N865" s="40"/>
    </row>
    <row r="866" customFormat="false" ht="15.75" hidden="false" customHeight="false" outlineLevel="0" collapsed="false">
      <c r="J866" s="48"/>
      <c r="K866" s="49"/>
      <c r="L866" s="49"/>
      <c r="N866" s="40"/>
    </row>
    <row r="867" customFormat="false" ht="15.75" hidden="false" customHeight="false" outlineLevel="0" collapsed="false">
      <c r="J867" s="48"/>
      <c r="K867" s="49"/>
      <c r="L867" s="49"/>
      <c r="N867" s="40"/>
    </row>
    <row r="868" customFormat="false" ht="15.75" hidden="false" customHeight="false" outlineLevel="0" collapsed="false">
      <c r="J868" s="48"/>
      <c r="K868" s="49"/>
      <c r="L868" s="49"/>
      <c r="N868" s="40"/>
    </row>
    <row r="869" customFormat="false" ht="15.75" hidden="false" customHeight="false" outlineLevel="0" collapsed="false">
      <c r="J869" s="48"/>
      <c r="K869" s="49"/>
      <c r="L869" s="49"/>
      <c r="N869" s="40"/>
    </row>
    <row r="870" customFormat="false" ht="15.75" hidden="false" customHeight="false" outlineLevel="0" collapsed="false">
      <c r="J870" s="48"/>
      <c r="K870" s="49"/>
      <c r="L870" s="49"/>
      <c r="N870" s="40"/>
    </row>
    <row r="871" customFormat="false" ht="15.75" hidden="false" customHeight="false" outlineLevel="0" collapsed="false">
      <c r="J871" s="48"/>
      <c r="K871" s="49"/>
      <c r="L871" s="49"/>
      <c r="N871" s="40"/>
    </row>
    <row r="872" customFormat="false" ht="15.75" hidden="false" customHeight="false" outlineLevel="0" collapsed="false">
      <c r="J872" s="48"/>
      <c r="K872" s="49"/>
      <c r="L872" s="49"/>
      <c r="N872" s="40"/>
    </row>
    <row r="873" customFormat="false" ht="15.75" hidden="false" customHeight="false" outlineLevel="0" collapsed="false">
      <c r="J873" s="48"/>
      <c r="K873" s="49"/>
      <c r="L873" s="49"/>
      <c r="N873" s="40"/>
    </row>
    <row r="874" customFormat="false" ht="15.75" hidden="false" customHeight="false" outlineLevel="0" collapsed="false">
      <c r="J874" s="48"/>
      <c r="K874" s="49"/>
      <c r="L874" s="49"/>
      <c r="N874" s="40"/>
    </row>
    <row r="875" customFormat="false" ht="15.75" hidden="false" customHeight="false" outlineLevel="0" collapsed="false">
      <c r="J875" s="48"/>
      <c r="K875" s="49"/>
      <c r="L875" s="49"/>
      <c r="N875" s="40"/>
    </row>
    <row r="876" customFormat="false" ht="15.75" hidden="false" customHeight="false" outlineLevel="0" collapsed="false">
      <c r="J876" s="48"/>
      <c r="K876" s="49"/>
      <c r="L876" s="49"/>
      <c r="N876" s="40"/>
    </row>
    <row r="877" customFormat="false" ht="15.75" hidden="false" customHeight="false" outlineLevel="0" collapsed="false">
      <c r="J877" s="48"/>
      <c r="K877" s="49"/>
      <c r="L877" s="49"/>
      <c r="N877" s="40"/>
    </row>
    <row r="878" customFormat="false" ht="15.75" hidden="false" customHeight="false" outlineLevel="0" collapsed="false">
      <c r="J878" s="48"/>
      <c r="K878" s="49"/>
      <c r="L878" s="49"/>
      <c r="N878" s="40"/>
    </row>
    <row r="879" customFormat="false" ht="15.75" hidden="false" customHeight="false" outlineLevel="0" collapsed="false">
      <c r="J879" s="48"/>
      <c r="K879" s="49"/>
      <c r="L879" s="49"/>
      <c r="N879" s="40"/>
    </row>
    <row r="880" customFormat="false" ht="15.75" hidden="false" customHeight="false" outlineLevel="0" collapsed="false">
      <c r="J880" s="48"/>
      <c r="K880" s="49"/>
      <c r="L880" s="49"/>
      <c r="N880" s="40"/>
    </row>
    <row r="881" customFormat="false" ht="15.75" hidden="false" customHeight="false" outlineLevel="0" collapsed="false">
      <c r="J881" s="48"/>
      <c r="K881" s="49"/>
      <c r="L881" s="49"/>
      <c r="N881" s="40"/>
    </row>
    <row r="882" customFormat="false" ht="15.75" hidden="false" customHeight="false" outlineLevel="0" collapsed="false">
      <c r="J882" s="48"/>
      <c r="K882" s="49"/>
      <c r="L882" s="49"/>
      <c r="N882" s="40"/>
    </row>
    <row r="883" customFormat="false" ht="15.75" hidden="false" customHeight="false" outlineLevel="0" collapsed="false">
      <c r="J883" s="48"/>
      <c r="K883" s="49"/>
      <c r="L883" s="49"/>
      <c r="N883" s="40"/>
    </row>
    <row r="884" customFormat="false" ht="15.75" hidden="false" customHeight="false" outlineLevel="0" collapsed="false">
      <c r="J884" s="48"/>
      <c r="K884" s="49"/>
      <c r="L884" s="49"/>
      <c r="N884" s="40"/>
    </row>
    <row r="885" customFormat="false" ht="15.75" hidden="false" customHeight="false" outlineLevel="0" collapsed="false">
      <c r="J885" s="48"/>
      <c r="K885" s="49"/>
      <c r="L885" s="49"/>
      <c r="N885" s="40"/>
    </row>
    <row r="886" customFormat="false" ht="15.75" hidden="false" customHeight="false" outlineLevel="0" collapsed="false">
      <c r="J886" s="48"/>
      <c r="K886" s="49"/>
      <c r="L886" s="49"/>
      <c r="N886" s="40"/>
    </row>
    <row r="887" customFormat="false" ht="15.75" hidden="false" customHeight="false" outlineLevel="0" collapsed="false">
      <c r="J887" s="48"/>
      <c r="K887" s="49"/>
      <c r="L887" s="49"/>
      <c r="N887" s="40"/>
    </row>
    <row r="888" customFormat="false" ht="15.75" hidden="false" customHeight="false" outlineLevel="0" collapsed="false">
      <c r="J888" s="48"/>
      <c r="K888" s="49"/>
      <c r="L888" s="49"/>
      <c r="N888" s="40"/>
    </row>
    <row r="889" customFormat="false" ht="15.75" hidden="false" customHeight="false" outlineLevel="0" collapsed="false">
      <c r="J889" s="48"/>
      <c r="K889" s="49"/>
      <c r="L889" s="49"/>
      <c r="N889" s="40"/>
    </row>
    <row r="890" customFormat="false" ht="15.75" hidden="false" customHeight="false" outlineLevel="0" collapsed="false">
      <c r="J890" s="48"/>
      <c r="K890" s="49"/>
      <c r="L890" s="49"/>
      <c r="N890" s="40"/>
    </row>
    <row r="891" customFormat="false" ht="15.75" hidden="false" customHeight="false" outlineLevel="0" collapsed="false">
      <c r="J891" s="48"/>
      <c r="K891" s="49"/>
      <c r="L891" s="49"/>
      <c r="N891" s="40"/>
    </row>
    <row r="892" customFormat="false" ht="15.75" hidden="false" customHeight="false" outlineLevel="0" collapsed="false">
      <c r="J892" s="48"/>
      <c r="K892" s="49"/>
      <c r="L892" s="49"/>
      <c r="N892" s="40"/>
    </row>
    <row r="893" customFormat="false" ht="15.75" hidden="false" customHeight="false" outlineLevel="0" collapsed="false">
      <c r="J893" s="48"/>
      <c r="K893" s="49"/>
      <c r="L893" s="49"/>
      <c r="N893" s="40"/>
    </row>
    <row r="894" customFormat="false" ht="15.75" hidden="false" customHeight="false" outlineLevel="0" collapsed="false">
      <c r="J894" s="48"/>
      <c r="K894" s="49"/>
      <c r="L894" s="49"/>
      <c r="N894" s="40"/>
    </row>
    <row r="895" customFormat="false" ht="15.75" hidden="false" customHeight="false" outlineLevel="0" collapsed="false">
      <c r="J895" s="48"/>
      <c r="K895" s="49"/>
      <c r="L895" s="49"/>
      <c r="N895" s="40"/>
    </row>
    <row r="896" customFormat="false" ht="15.75" hidden="false" customHeight="false" outlineLevel="0" collapsed="false">
      <c r="J896" s="48"/>
      <c r="K896" s="49"/>
      <c r="L896" s="49"/>
      <c r="N896" s="40"/>
    </row>
    <row r="897" customFormat="false" ht="15.75" hidden="false" customHeight="false" outlineLevel="0" collapsed="false">
      <c r="J897" s="48"/>
      <c r="K897" s="49"/>
      <c r="L897" s="49"/>
      <c r="N897" s="40"/>
    </row>
    <row r="898" customFormat="false" ht="15.75" hidden="false" customHeight="false" outlineLevel="0" collapsed="false">
      <c r="J898" s="48"/>
      <c r="K898" s="49"/>
      <c r="L898" s="49"/>
      <c r="N898" s="40"/>
    </row>
    <row r="899" customFormat="false" ht="15.75" hidden="false" customHeight="false" outlineLevel="0" collapsed="false">
      <c r="J899" s="48"/>
      <c r="K899" s="49"/>
      <c r="L899" s="49"/>
      <c r="N899" s="40"/>
    </row>
    <row r="900" customFormat="false" ht="15.75" hidden="false" customHeight="false" outlineLevel="0" collapsed="false">
      <c r="J900" s="48"/>
      <c r="K900" s="49"/>
      <c r="L900" s="49"/>
      <c r="N900" s="40"/>
    </row>
    <row r="901" customFormat="false" ht="15.75" hidden="false" customHeight="false" outlineLevel="0" collapsed="false">
      <c r="J901" s="48"/>
      <c r="K901" s="49"/>
      <c r="L901" s="49"/>
      <c r="N901" s="40"/>
    </row>
    <row r="902" customFormat="false" ht="15.75" hidden="false" customHeight="false" outlineLevel="0" collapsed="false">
      <c r="J902" s="48"/>
      <c r="K902" s="49"/>
      <c r="L902" s="49"/>
      <c r="N902" s="40"/>
    </row>
    <row r="903" customFormat="false" ht="15.75" hidden="false" customHeight="false" outlineLevel="0" collapsed="false">
      <c r="J903" s="48"/>
      <c r="K903" s="49"/>
      <c r="L903" s="49"/>
      <c r="N903" s="40"/>
    </row>
    <row r="904" customFormat="false" ht="15.75" hidden="false" customHeight="false" outlineLevel="0" collapsed="false">
      <c r="J904" s="48"/>
      <c r="K904" s="49"/>
      <c r="L904" s="49"/>
      <c r="N904" s="40"/>
    </row>
    <row r="905" customFormat="false" ht="15.75" hidden="false" customHeight="false" outlineLevel="0" collapsed="false">
      <c r="J905" s="48"/>
      <c r="K905" s="49"/>
      <c r="L905" s="49"/>
      <c r="N905" s="40"/>
    </row>
    <row r="906" customFormat="false" ht="15.75" hidden="false" customHeight="false" outlineLevel="0" collapsed="false">
      <c r="J906" s="48"/>
      <c r="K906" s="49"/>
      <c r="L906" s="49"/>
      <c r="N906" s="40"/>
    </row>
    <row r="907" customFormat="false" ht="15.75" hidden="false" customHeight="false" outlineLevel="0" collapsed="false">
      <c r="J907" s="48"/>
      <c r="K907" s="49"/>
      <c r="L907" s="49"/>
      <c r="N907" s="40"/>
    </row>
    <row r="908" customFormat="false" ht="15.75" hidden="false" customHeight="false" outlineLevel="0" collapsed="false">
      <c r="J908" s="48"/>
      <c r="K908" s="49"/>
      <c r="L908" s="49"/>
      <c r="N908" s="40"/>
    </row>
    <row r="909" customFormat="false" ht="15.75" hidden="false" customHeight="false" outlineLevel="0" collapsed="false">
      <c r="J909" s="48"/>
      <c r="K909" s="49"/>
      <c r="L909" s="49"/>
      <c r="N909" s="40"/>
    </row>
    <row r="910" customFormat="false" ht="15.75" hidden="false" customHeight="false" outlineLevel="0" collapsed="false">
      <c r="J910" s="48"/>
      <c r="K910" s="49"/>
      <c r="L910" s="49"/>
      <c r="N910" s="40"/>
    </row>
    <row r="911" customFormat="false" ht="15.75" hidden="false" customHeight="false" outlineLevel="0" collapsed="false">
      <c r="J911" s="48"/>
      <c r="K911" s="49"/>
      <c r="L911" s="49"/>
      <c r="N911" s="40"/>
    </row>
    <row r="912" customFormat="false" ht="15.75" hidden="false" customHeight="false" outlineLevel="0" collapsed="false">
      <c r="J912" s="48"/>
      <c r="K912" s="49"/>
      <c r="L912" s="49"/>
      <c r="N912" s="40"/>
    </row>
    <row r="913" customFormat="false" ht="15.75" hidden="false" customHeight="false" outlineLevel="0" collapsed="false">
      <c r="J913" s="48"/>
      <c r="K913" s="49"/>
      <c r="L913" s="49"/>
      <c r="N913" s="40"/>
    </row>
    <row r="914" customFormat="false" ht="15.75" hidden="false" customHeight="false" outlineLevel="0" collapsed="false">
      <c r="J914" s="48"/>
      <c r="K914" s="49"/>
      <c r="L914" s="49"/>
      <c r="N914" s="40"/>
    </row>
    <row r="915" customFormat="false" ht="15.75" hidden="false" customHeight="false" outlineLevel="0" collapsed="false">
      <c r="J915" s="48"/>
      <c r="K915" s="49"/>
      <c r="L915" s="49"/>
      <c r="N915" s="40"/>
    </row>
    <row r="916" customFormat="false" ht="15.75" hidden="false" customHeight="false" outlineLevel="0" collapsed="false">
      <c r="J916" s="48"/>
      <c r="K916" s="49"/>
      <c r="L916" s="49"/>
      <c r="N916" s="40"/>
    </row>
    <row r="917" customFormat="false" ht="15.75" hidden="false" customHeight="false" outlineLevel="0" collapsed="false">
      <c r="J917" s="48"/>
      <c r="K917" s="49"/>
      <c r="L917" s="49"/>
      <c r="N917" s="40"/>
    </row>
    <row r="918" customFormat="false" ht="15.75" hidden="false" customHeight="false" outlineLevel="0" collapsed="false">
      <c r="J918" s="48"/>
      <c r="K918" s="49"/>
      <c r="L918" s="49"/>
      <c r="N918" s="40"/>
    </row>
    <row r="919" customFormat="false" ht="15.75" hidden="false" customHeight="false" outlineLevel="0" collapsed="false">
      <c r="J919" s="48"/>
      <c r="K919" s="49"/>
      <c r="L919" s="49"/>
      <c r="N919" s="40"/>
    </row>
    <row r="920" customFormat="false" ht="15.75" hidden="false" customHeight="false" outlineLevel="0" collapsed="false">
      <c r="J920" s="48"/>
      <c r="K920" s="49"/>
      <c r="L920" s="49"/>
      <c r="N920" s="40"/>
    </row>
    <row r="921" customFormat="false" ht="15.75" hidden="false" customHeight="false" outlineLevel="0" collapsed="false">
      <c r="J921" s="48"/>
      <c r="K921" s="49"/>
      <c r="L921" s="49"/>
      <c r="N921" s="40"/>
    </row>
    <row r="922" customFormat="false" ht="15.75" hidden="false" customHeight="false" outlineLevel="0" collapsed="false">
      <c r="J922" s="48"/>
      <c r="K922" s="49"/>
      <c r="L922" s="49"/>
      <c r="N922" s="40"/>
    </row>
    <row r="923" customFormat="false" ht="15.75" hidden="false" customHeight="false" outlineLevel="0" collapsed="false">
      <c r="J923" s="48"/>
      <c r="K923" s="49"/>
      <c r="L923" s="49"/>
      <c r="N923" s="40"/>
    </row>
    <row r="924" customFormat="false" ht="15.75" hidden="false" customHeight="false" outlineLevel="0" collapsed="false">
      <c r="J924" s="48"/>
      <c r="K924" s="49"/>
      <c r="L924" s="49"/>
      <c r="N924" s="40"/>
    </row>
    <row r="925" customFormat="false" ht="15.75" hidden="false" customHeight="false" outlineLevel="0" collapsed="false">
      <c r="J925" s="48"/>
      <c r="K925" s="49"/>
      <c r="L925" s="49"/>
      <c r="N925" s="40"/>
    </row>
    <row r="926" customFormat="false" ht="15.75" hidden="false" customHeight="false" outlineLevel="0" collapsed="false">
      <c r="J926" s="48"/>
      <c r="K926" s="49"/>
      <c r="L926" s="49"/>
      <c r="N926" s="40"/>
    </row>
    <row r="927" customFormat="false" ht="15.75" hidden="false" customHeight="false" outlineLevel="0" collapsed="false">
      <c r="J927" s="48"/>
      <c r="K927" s="49"/>
      <c r="L927" s="49"/>
      <c r="N927" s="40"/>
    </row>
    <row r="928" customFormat="false" ht="15.75" hidden="false" customHeight="false" outlineLevel="0" collapsed="false">
      <c r="J928" s="48"/>
      <c r="K928" s="49"/>
      <c r="L928" s="49"/>
      <c r="N928" s="40"/>
    </row>
    <row r="929" customFormat="false" ht="15.75" hidden="false" customHeight="false" outlineLevel="0" collapsed="false">
      <c r="J929" s="48"/>
      <c r="K929" s="49"/>
      <c r="L929" s="49"/>
      <c r="N929" s="40"/>
    </row>
    <row r="930" customFormat="false" ht="15.75" hidden="false" customHeight="false" outlineLevel="0" collapsed="false">
      <c r="J930" s="48"/>
      <c r="K930" s="49"/>
      <c r="L930" s="49"/>
      <c r="N930" s="40"/>
    </row>
    <row r="931" customFormat="false" ht="15.75" hidden="false" customHeight="false" outlineLevel="0" collapsed="false">
      <c r="J931" s="48"/>
      <c r="K931" s="49"/>
      <c r="L931" s="49"/>
      <c r="N931" s="40"/>
    </row>
    <row r="932" customFormat="false" ht="15.75" hidden="false" customHeight="false" outlineLevel="0" collapsed="false">
      <c r="J932" s="48"/>
      <c r="K932" s="49"/>
      <c r="L932" s="49"/>
      <c r="N932" s="40"/>
    </row>
    <row r="933" customFormat="false" ht="15.75" hidden="false" customHeight="false" outlineLevel="0" collapsed="false">
      <c r="J933" s="48"/>
      <c r="K933" s="49"/>
      <c r="L933" s="49"/>
      <c r="N933" s="40"/>
    </row>
    <row r="934" customFormat="false" ht="15.75" hidden="false" customHeight="false" outlineLevel="0" collapsed="false">
      <c r="J934" s="48"/>
      <c r="K934" s="49"/>
      <c r="L934" s="49"/>
      <c r="N934" s="40"/>
    </row>
    <row r="935" customFormat="false" ht="15.75" hidden="false" customHeight="false" outlineLevel="0" collapsed="false">
      <c r="J935" s="48"/>
      <c r="K935" s="49"/>
      <c r="L935" s="49"/>
      <c r="N935" s="40"/>
    </row>
    <row r="936" customFormat="false" ht="15.75" hidden="false" customHeight="false" outlineLevel="0" collapsed="false">
      <c r="J936" s="48"/>
      <c r="K936" s="49"/>
      <c r="L936" s="49"/>
      <c r="N936" s="40"/>
    </row>
    <row r="937" customFormat="false" ht="15.75" hidden="false" customHeight="false" outlineLevel="0" collapsed="false">
      <c r="J937" s="48"/>
      <c r="K937" s="49"/>
      <c r="L937" s="49"/>
      <c r="N937" s="40"/>
    </row>
    <row r="938" customFormat="false" ht="15.75" hidden="false" customHeight="false" outlineLevel="0" collapsed="false">
      <c r="J938" s="48"/>
      <c r="K938" s="49"/>
      <c r="L938" s="49"/>
      <c r="N938" s="40"/>
    </row>
    <row r="939" customFormat="false" ht="15.75" hidden="false" customHeight="false" outlineLevel="0" collapsed="false">
      <c r="J939" s="48"/>
      <c r="K939" s="49"/>
      <c r="L939" s="49"/>
      <c r="N939" s="40"/>
    </row>
    <row r="940" customFormat="false" ht="15.75" hidden="false" customHeight="false" outlineLevel="0" collapsed="false">
      <c r="J940" s="48"/>
      <c r="K940" s="49"/>
      <c r="L940" s="49"/>
      <c r="N940" s="40"/>
    </row>
    <row r="941" customFormat="false" ht="15.75" hidden="false" customHeight="false" outlineLevel="0" collapsed="false">
      <c r="J941" s="48"/>
      <c r="K941" s="49"/>
      <c r="L941" s="49"/>
      <c r="N941" s="40"/>
    </row>
    <row r="942" customFormat="false" ht="15.75" hidden="false" customHeight="false" outlineLevel="0" collapsed="false">
      <c r="J942" s="48"/>
      <c r="K942" s="49"/>
      <c r="L942" s="49"/>
      <c r="N942" s="40"/>
    </row>
    <row r="943" customFormat="false" ht="15.75" hidden="false" customHeight="false" outlineLevel="0" collapsed="false">
      <c r="J943" s="48"/>
      <c r="K943" s="49"/>
      <c r="L943" s="49"/>
      <c r="N943" s="40"/>
    </row>
    <row r="944" customFormat="false" ht="15.75" hidden="false" customHeight="false" outlineLevel="0" collapsed="false">
      <c r="J944" s="48"/>
      <c r="K944" s="49"/>
      <c r="L944" s="49"/>
      <c r="N944" s="40"/>
    </row>
    <row r="945" customFormat="false" ht="15.75" hidden="false" customHeight="false" outlineLevel="0" collapsed="false">
      <c r="J945" s="48"/>
      <c r="K945" s="49"/>
      <c r="L945" s="49"/>
      <c r="N945" s="40"/>
    </row>
    <row r="946" customFormat="false" ht="15.75" hidden="false" customHeight="false" outlineLevel="0" collapsed="false">
      <c r="J946" s="48"/>
      <c r="K946" s="49"/>
      <c r="L946" s="49"/>
      <c r="N946" s="40"/>
    </row>
    <row r="947" customFormat="false" ht="15.75" hidden="false" customHeight="false" outlineLevel="0" collapsed="false">
      <c r="J947" s="48"/>
      <c r="K947" s="49"/>
      <c r="L947" s="49"/>
      <c r="N947" s="40"/>
    </row>
    <row r="948" customFormat="false" ht="15.75" hidden="false" customHeight="false" outlineLevel="0" collapsed="false">
      <c r="J948" s="48"/>
      <c r="K948" s="49"/>
      <c r="L948" s="49"/>
      <c r="N948" s="40"/>
    </row>
    <row r="949" customFormat="false" ht="15.75" hidden="false" customHeight="false" outlineLevel="0" collapsed="false">
      <c r="J949" s="48"/>
      <c r="K949" s="49"/>
      <c r="L949" s="49"/>
      <c r="N949" s="40"/>
    </row>
    <row r="950" customFormat="false" ht="15.75" hidden="false" customHeight="false" outlineLevel="0" collapsed="false">
      <c r="J950" s="48"/>
      <c r="K950" s="49"/>
      <c r="L950" s="49"/>
      <c r="N950" s="40"/>
    </row>
    <row r="951" customFormat="false" ht="15.75" hidden="false" customHeight="false" outlineLevel="0" collapsed="false">
      <c r="J951" s="48"/>
      <c r="K951" s="49"/>
      <c r="L951" s="49"/>
      <c r="N951" s="40"/>
    </row>
    <row r="952" customFormat="false" ht="15.75" hidden="false" customHeight="false" outlineLevel="0" collapsed="false">
      <c r="J952" s="48"/>
      <c r="K952" s="49"/>
      <c r="L952" s="49"/>
      <c r="N952" s="40"/>
    </row>
    <row r="953" customFormat="false" ht="15.75" hidden="false" customHeight="false" outlineLevel="0" collapsed="false">
      <c r="J953" s="48"/>
      <c r="K953" s="49"/>
      <c r="L953" s="49"/>
      <c r="N953" s="40"/>
    </row>
    <row r="954" customFormat="false" ht="15.75" hidden="false" customHeight="false" outlineLevel="0" collapsed="false">
      <c r="J954" s="48"/>
      <c r="K954" s="49"/>
      <c r="L954" s="49"/>
      <c r="N954" s="40"/>
    </row>
    <row r="955" customFormat="false" ht="15.75" hidden="false" customHeight="false" outlineLevel="0" collapsed="false">
      <c r="J955" s="48"/>
      <c r="K955" s="49"/>
      <c r="L955" s="49"/>
      <c r="N955" s="40"/>
    </row>
    <row r="956" customFormat="false" ht="15.75" hidden="false" customHeight="false" outlineLevel="0" collapsed="false">
      <c r="J956" s="48"/>
      <c r="K956" s="49"/>
      <c r="L956" s="49"/>
      <c r="N956" s="40"/>
    </row>
    <row r="957" customFormat="false" ht="15.75" hidden="false" customHeight="false" outlineLevel="0" collapsed="false">
      <c r="J957" s="48"/>
      <c r="K957" s="49"/>
      <c r="L957" s="49"/>
      <c r="N957" s="40"/>
    </row>
    <row r="958" customFormat="false" ht="15.75" hidden="false" customHeight="false" outlineLevel="0" collapsed="false">
      <c r="J958" s="48"/>
      <c r="K958" s="49"/>
      <c r="L958" s="49"/>
      <c r="N958" s="40"/>
    </row>
    <row r="959" customFormat="false" ht="15.75" hidden="false" customHeight="false" outlineLevel="0" collapsed="false">
      <c r="J959" s="48"/>
      <c r="K959" s="49"/>
      <c r="L959" s="49"/>
      <c r="N959" s="40"/>
    </row>
    <row r="960" customFormat="false" ht="15.75" hidden="false" customHeight="false" outlineLevel="0" collapsed="false">
      <c r="J960" s="48"/>
      <c r="K960" s="49"/>
      <c r="L960" s="49"/>
      <c r="N960" s="40"/>
    </row>
    <row r="961" customFormat="false" ht="15.75" hidden="false" customHeight="false" outlineLevel="0" collapsed="false">
      <c r="J961" s="48"/>
      <c r="K961" s="49"/>
      <c r="L961" s="49"/>
      <c r="N961" s="40"/>
    </row>
    <row r="962" customFormat="false" ht="15.75" hidden="false" customHeight="false" outlineLevel="0" collapsed="false">
      <c r="J962" s="48"/>
      <c r="K962" s="49"/>
      <c r="L962" s="49"/>
      <c r="N962" s="40"/>
    </row>
    <row r="963" customFormat="false" ht="15.75" hidden="false" customHeight="false" outlineLevel="0" collapsed="false">
      <c r="J963" s="48"/>
      <c r="K963" s="49"/>
      <c r="L963" s="49"/>
      <c r="N963" s="40"/>
    </row>
    <row r="964" customFormat="false" ht="15.75" hidden="false" customHeight="false" outlineLevel="0" collapsed="false">
      <c r="J964" s="48"/>
      <c r="K964" s="49"/>
      <c r="L964" s="49"/>
      <c r="N964" s="40"/>
    </row>
    <row r="965" customFormat="false" ht="15.75" hidden="false" customHeight="false" outlineLevel="0" collapsed="false">
      <c r="J965" s="48"/>
      <c r="K965" s="49"/>
      <c r="L965" s="49"/>
      <c r="N965" s="40"/>
    </row>
    <row r="966" customFormat="false" ht="15.75" hidden="false" customHeight="false" outlineLevel="0" collapsed="false">
      <c r="J966" s="48"/>
      <c r="K966" s="49"/>
      <c r="L966" s="49"/>
      <c r="N966" s="40"/>
    </row>
    <row r="967" customFormat="false" ht="15.75" hidden="false" customHeight="false" outlineLevel="0" collapsed="false">
      <c r="J967" s="48"/>
      <c r="K967" s="49"/>
      <c r="L967" s="49"/>
      <c r="N967" s="40"/>
    </row>
    <row r="968" customFormat="false" ht="15.75" hidden="false" customHeight="false" outlineLevel="0" collapsed="false">
      <c r="J968" s="48"/>
      <c r="K968" s="49"/>
      <c r="L968" s="49"/>
      <c r="N968" s="40"/>
    </row>
    <row r="969" customFormat="false" ht="15.75" hidden="false" customHeight="false" outlineLevel="0" collapsed="false">
      <c r="J969" s="48"/>
      <c r="K969" s="49"/>
      <c r="L969" s="49"/>
      <c r="N969" s="40"/>
    </row>
    <row r="970" customFormat="false" ht="15.75" hidden="false" customHeight="false" outlineLevel="0" collapsed="false">
      <c r="J970" s="48"/>
      <c r="K970" s="49"/>
      <c r="L970" s="49"/>
      <c r="N970" s="40"/>
    </row>
    <row r="971" customFormat="false" ht="15.75" hidden="false" customHeight="false" outlineLevel="0" collapsed="false">
      <c r="J971" s="48"/>
      <c r="K971" s="49"/>
      <c r="L971" s="49"/>
      <c r="N971" s="40"/>
    </row>
    <row r="972" customFormat="false" ht="15.75" hidden="false" customHeight="false" outlineLevel="0" collapsed="false">
      <c r="J972" s="48"/>
      <c r="K972" s="49"/>
      <c r="L972" s="49"/>
      <c r="N972" s="40"/>
    </row>
    <row r="973" customFormat="false" ht="15.75" hidden="false" customHeight="false" outlineLevel="0" collapsed="false">
      <c r="J973" s="48"/>
      <c r="K973" s="49"/>
      <c r="L973" s="49"/>
      <c r="N973" s="40"/>
    </row>
    <row r="974" customFormat="false" ht="15.75" hidden="false" customHeight="false" outlineLevel="0" collapsed="false">
      <c r="J974" s="48"/>
      <c r="K974" s="49"/>
      <c r="L974" s="49"/>
      <c r="N974" s="40"/>
    </row>
    <row r="975" customFormat="false" ht="15.75" hidden="false" customHeight="false" outlineLevel="0" collapsed="false">
      <c r="J975" s="48"/>
      <c r="K975" s="49"/>
      <c r="L975" s="49"/>
      <c r="N975" s="40"/>
    </row>
    <row r="976" customFormat="false" ht="15.75" hidden="false" customHeight="false" outlineLevel="0" collapsed="false">
      <c r="J976" s="48"/>
      <c r="K976" s="49"/>
      <c r="L976" s="49"/>
      <c r="N976" s="40"/>
    </row>
    <row r="977" customFormat="false" ht="15.75" hidden="false" customHeight="false" outlineLevel="0" collapsed="false">
      <c r="J977" s="48"/>
      <c r="K977" s="49"/>
      <c r="L977" s="49"/>
      <c r="N977" s="40"/>
    </row>
    <row r="978" customFormat="false" ht="15.75" hidden="false" customHeight="false" outlineLevel="0" collapsed="false">
      <c r="J978" s="48"/>
      <c r="K978" s="49"/>
      <c r="L978" s="49"/>
      <c r="N978" s="40"/>
    </row>
    <row r="979" customFormat="false" ht="15.75" hidden="false" customHeight="false" outlineLevel="0" collapsed="false">
      <c r="J979" s="48"/>
      <c r="K979" s="49"/>
      <c r="L979" s="49"/>
      <c r="N979" s="40"/>
    </row>
    <row r="980" customFormat="false" ht="15.75" hidden="false" customHeight="false" outlineLevel="0" collapsed="false">
      <c r="J980" s="48"/>
      <c r="K980" s="49"/>
      <c r="L980" s="49"/>
      <c r="N980" s="40"/>
    </row>
    <row r="981" customFormat="false" ht="15.75" hidden="false" customHeight="false" outlineLevel="0" collapsed="false">
      <c r="J981" s="48"/>
      <c r="K981" s="49"/>
      <c r="L981" s="49"/>
      <c r="N981" s="40"/>
    </row>
    <row r="982" customFormat="false" ht="15.75" hidden="false" customHeight="false" outlineLevel="0" collapsed="false">
      <c r="J982" s="48"/>
      <c r="K982" s="49"/>
      <c r="L982" s="49"/>
      <c r="N982" s="40"/>
    </row>
    <row r="983" customFormat="false" ht="15.75" hidden="false" customHeight="false" outlineLevel="0" collapsed="false">
      <c r="J983" s="48"/>
      <c r="K983" s="49"/>
      <c r="L983" s="49"/>
      <c r="N983" s="40"/>
    </row>
    <row r="984" customFormat="false" ht="15.75" hidden="false" customHeight="false" outlineLevel="0" collapsed="false">
      <c r="J984" s="48"/>
      <c r="K984" s="49"/>
      <c r="L984" s="49"/>
      <c r="N984" s="40"/>
    </row>
    <row r="985" customFormat="false" ht="15.75" hidden="false" customHeight="false" outlineLevel="0" collapsed="false">
      <c r="J985" s="48"/>
      <c r="K985" s="49"/>
      <c r="L985" s="49"/>
      <c r="N985" s="40"/>
    </row>
    <row r="986" customFormat="false" ht="15.75" hidden="false" customHeight="false" outlineLevel="0" collapsed="false">
      <c r="J986" s="48"/>
      <c r="K986" s="49"/>
      <c r="L986" s="49"/>
      <c r="N986" s="40"/>
    </row>
    <row r="987" customFormat="false" ht="15.75" hidden="false" customHeight="false" outlineLevel="0" collapsed="false">
      <c r="J987" s="48"/>
      <c r="K987" s="49"/>
      <c r="L987" s="49"/>
      <c r="N987" s="40"/>
    </row>
    <row r="988" customFormat="false" ht="15.75" hidden="false" customHeight="false" outlineLevel="0" collapsed="false">
      <c r="J988" s="48"/>
      <c r="K988" s="49"/>
      <c r="L988" s="49"/>
      <c r="N988" s="40"/>
    </row>
    <row r="989" customFormat="false" ht="15.75" hidden="false" customHeight="false" outlineLevel="0" collapsed="false">
      <c r="J989" s="48"/>
      <c r="K989" s="49"/>
      <c r="L989" s="49"/>
      <c r="N989" s="40"/>
    </row>
    <row r="990" customFormat="false" ht="15.75" hidden="false" customHeight="false" outlineLevel="0" collapsed="false">
      <c r="J990" s="48"/>
      <c r="K990" s="49"/>
      <c r="L990" s="49"/>
      <c r="N990" s="40"/>
    </row>
    <row r="991" customFormat="false" ht="15.75" hidden="false" customHeight="false" outlineLevel="0" collapsed="false">
      <c r="J991" s="48"/>
      <c r="K991" s="49"/>
      <c r="L991" s="49"/>
      <c r="N991" s="40"/>
    </row>
    <row r="992" customFormat="false" ht="15.75" hidden="false" customHeight="false" outlineLevel="0" collapsed="false">
      <c r="J992" s="48"/>
      <c r="K992" s="49"/>
      <c r="L992" s="49"/>
      <c r="N992" s="40"/>
    </row>
    <row r="993" customFormat="false" ht="15.75" hidden="false" customHeight="false" outlineLevel="0" collapsed="false">
      <c r="J993" s="48"/>
      <c r="K993" s="49"/>
      <c r="L993" s="49"/>
      <c r="N993" s="40"/>
    </row>
    <row r="994" customFormat="false" ht="15.75" hidden="false" customHeight="false" outlineLevel="0" collapsed="false">
      <c r="J994" s="48"/>
      <c r="K994" s="49"/>
      <c r="L994" s="49"/>
      <c r="N994" s="40"/>
    </row>
    <row r="995" customFormat="false" ht="15.75" hidden="false" customHeight="false" outlineLevel="0" collapsed="false">
      <c r="J995" s="48"/>
      <c r="K995" s="49"/>
      <c r="L995" s="49"/>
      <c r="N995" s="40"/>
    </row>
    <row r="996" customFormat="false" ht="15.75" hidden="false" customHeight="false" outlineLevel="0" collapsed="false">
      <c r="J996" s="48"/>
      <c r="K996" s="49"/>
      <c r="L996" s="49"/>
      <c r="N996" s="40"/>
    </row>
    <row r="997" customFormat="false" ht="15.75" hidden="false" customHeight="false" outlineLevel="0" collapsed="false">
      <c r="J997" s="48"/>
      <c r="K997" s="49"/>
      <c r="L997" s="49"/>
      <c r="N997" s="40"/>
    </row>
    <row r="998" customFormat="false" ht="15.75" hidden="false" customHeight="false" outlineLevel="0" collapsed="false">
      <c r="J998" s="48"/>
      <c r="K998" s="49"/>
      <c r="L998" s="49"/>
      <c r="N998" s="40"/>
    </row>
    <row r="999" customFormat="false" ht="15.75" hidden="false" customHeight="false" outlineLevel="0" collapsed="false">
      <c r="J999" s="48"/>
      <c r="K999" s="49"/>
      <c r="L999" s="49"/>
      <c r="N999" s="40"/>
    </row>
    <row r="1000" customFormat="false" ht="15.75" hidden="false" customHeight="false" outlineLevel="0" collapsed="false">
      <c r="J1000" s="48"/>
      <c r="K1000" s="49"/>
      <c r="L1000" s="49"/>
      <c r="N1000" s="40"/>
    </row>
    <row r="1001" customFormat="false" ht="15.75" hidden="false" customHeight="false" outlineLevel="0" collapsed="false">
      <c r="J1001" s="48"/>
      <c r="K1001" s="49"/>
      <c r="L1001" s="49"/>
      <c r="N1001" s="40"/>
    </row>
    <row r="1002" customFormat="false" ht="15.75" hidden="false" customHeight="false" outlineLevel="0" collapsed="false">
      <c r="J1002" s="48"/>
      <c r="K1002" s="49"/>
      <c r="L1002" s="49"/>
      <c r="N1002" s="40"/>
    </row>
    <row r="1003" customFormat="false" ht="15.75" hidden="false" customHeight="false" outlineLevel="0" collapsed="false">
      <c r="J1003" s="48"/>
      <c r="K1003" s="49"/>
      <c r="L1003" s="49"/>
      <c r="N1003" s="40"/>
    </row>
    <row r="1004" customFormat="false" ht="15.75" hidden="false" customHeight="false" outlineLevel="0" collapsed="false">
      <c r="J1004" s="48"/>
      <c r="K1004" s="49"/>
      <c r="L1004" s="49"/>
      <c r="N1004" s="40"/>
    </row>
    <row r="1005" customFormat="false" ht="15.75" hidden="false" customHeight="false" outlineLevel="0" collapsed="false">
      <c r="J1005" s="48"/>
      <c r="K1005" s="49"/>
      <c r="L1005" s="49"/>
      <c r="N1005" s="40"/>
    </row>
    <row r="1006" customFormat="false" ht="15.75" hidden="false" customHeight="false" outlineLevel="0" collapsed="false">
      <c r="J1006" s="48"/>
      <c r="K1006" s="49"/>
      <c r="L1006" s="49"/>
      <c r="N1006" s="40"/>
    </row>
    <row r="1007" customFormat="false" ht="15.75" hidden="false" customHeight="false" outlineLevel="0" collapsed="false">
      <c r="J1007" s="48"/>
      <c r="K1007" s="49"/>
      <c r="L1007" s="49"/>
      <c r="N1007" s="40"/>
    </row>
    <row r="1008" customFormat="false" ht="15.75" hidden="false" customHeight="false" outlineLevel="0" collapsed="false">
      <c r="J1008" s="48"/>
      <c r="K1008" s="49"/>
      <c r="L1008" s="49"/>
      <c r="N1008" s="40"/>
    </row>
    <row r="1009" customFormat="false" ht="15.75" hidden="false" customHeight="false" outlineLevel="0" collapsed="false">
      <c r="J1009" s="48"/>
      <c r="K1009" s="49"/>
      <c r="L1009" s="49"/>
      <c r="N1009" s="40"/>
    </row>
    <row r="1010" customFormat="false" ht="15.75" hidden="false" customHeight="false" outlineLevel="0" collapsed="false">
      <c r="J1010" s="48"/>
      <c r="K1010" s="49"/>
      <c r="L1010" s="49"/>
      <c r="N1010" s="40"/>
    </row>
    <row r="1011" customFormat="false" ht="15.75" hidden="false" customHeight="false" outlineLevel="0" collapsed="false">
      <c r="J1011" s="48"/>
      <c r="K1011" s="49"/>
      <c r="L1011" s="49"/>
      <c r="N1011" s="40"/>
    </row>
    <row r="1012" customFormat="false" ht="15.75" hidden="false" customHeight="false" outlineLevel="0" collapsed="false">
      <c r="J1012" s="48"/>
      <c r="K1012" s="49"/>
      <c r="L1012" s="49"/>
      <c r="N1012" s="40"/>
    </row>
    <row r="1013" customFormat="false" ht="15.75" hidden="false" customHeight="false" outlineLevel="0" collapsed="false">
      <c r="J1013" s="48"/>
      <c r="K1013" s="49"/>
      <c r="L1013" s="49"/>
      <c r="N1013" s="40"/>
    </row>
    <row r="1014" customFormat="false" ht="15.75" hidden="false" customHeight="false" outlineLevel="0" collapsed="false">
      <c r="J1014" s="48"/>
      <c r="K1014" s="49"/>
      <c r="L1014" s="49"/>
      <c r="N1014" s="40"/>
    </row>
    <row r="1015" customFormat="false" ht="15.75" hidden="false" customHeight="false" outlineLevel="0" collapsed="false">
      <c r="J1015" s="48"/>
      <c r="K1015" s="49"/>
      <c r="L1015" s="49"/>
      <c r="N1015" s="40"/>
    </row>
    <row r="1016" customFormat="false" ht="15.75" hidden="false" customHeight="false" outlineLevel="0" collapsed="false">
      <c r="J1016" s="48"/>
      <c r="K1016" s="49"/>
      <c r="L1016" s="49"/>
      <c r="N1016" s="40"/>
    </row>
    <row r="1017" customFormat="false" ht="15.75" hidden="false" customHeight="false" outlineLevel="0" collapsed="false">
      <c r="J1017" s="48"/>
      <c r="K1017" s="49"/>
      <c r="L1017" s="49"/>
      <c r="N1017" s="40"/>
    </row>
  </sheetData>
  <mergeCells count="2">
    <mergeCell ref="N9:R9"/>
    <mergeCell ref="N12:T12"/>
  </mergeCells>
  <hyperlinks>
    <hyperlink ref="N10" r:id="rId2" display="https://au.element14.com/wurth-elektronik/61900113722dec/contact-2-54mm-crimp-awg28-22/dp/1841425?ost=1841425"/>
    <hyperlink ref="N12" r:id="rId3" display="https://core-electronics.com.au/5v-step-up-step-down-voltage-regulator-w-adjustable-low-voltage-cutoff-s9v11f5s6cma.html"/>
    <hyperlink ref="N13" r:id="rId4" display="https://au.element14.com/nidec-copal/mfs101d-8-z/slide-switch-spdt-2a-30vac-th/dp/2854844"/>
    <hyperlink ref="N14" r:id="rId5" display="https://au.element14.com/schurter/0034-1518/fuse-fast-acting-glass-1-6a/dp/1360787"/>
    <hyperlink ref="N15" r:id="rId6" display="https://au.element14.com/multicomp-pro/2212s-02sg-85/receptacle-tht-vertical-2-54mm/dp/1593458"/>
    <hyperlink ref="N16" r:id="rId7" display="https://au.element14.com/multicomp/2212s-04sg-85/socket-pcb-1-row-4way/dp/1593460?ost=1593460"/>
    <hyperlink ref="N17" r:id="rId8" display="https://au.element14.com/multicomp-pro/2212s-05sg-85/socket-pcb-1-row-5way/dp/1593461"/>
    <hyperlink ref="N18" r:id="rId9" display="https://au.element14.com/multicomp-pro/2212s-08sg-85/socket-pcb-1-row-8way/dp/1593463?ost=1593463"/>
    <hyperlink ref="N19" r:id="rId10" display="https://au.element14.com/wurth-elektronik/61900211021/header-2-54mm-r-a-b-locking-2way/dp/1841368?ost=1841368"/>
    <hyperlink ref="N20" r:id="rId11" display="https://au.element14.com/wurth-elektronik/61900211121/header-2-54mm-locking-2way/dp/1841369"/>
    <hyperlink ref="N21" r:id="rId12" display="https://au.element14.com/wurth-elektronik/61900211621/housing-2-54mm-2way/dp/1841370?ost=1841370"/>
    <hyperlink ref="N22" r:id="rId13" display="https://au.element14.com/wurth-elektronik/61900411121/header-2-54mm-locking-4way/dp/1841378?ost=1841378"/>
    <hyperlink ref="N23" r:id="rId14" display="https://au.element14.com/wurth-elektronik/61900411621/housing-2-54mm-4way/dp/1841379?ost=1841379"/>
    <hyperlink ref="N24" r:id="rId15" display="https://au.element14.com/wurth-elektronik/61900511121/header-2-54mm-locking-5way/dp/1841382?ost=1841382"/>
    <hyperlink ref="N25" r:id="rId16" display="https://au.element14.com/wurth-elektronik/61900511621/housing-2-54mm-5way/dp/1841383?ost=1841383"/>
    <hyperlink ref="N26" r:id="rId17" display="https://au.element14.com/wurth-elektronik/61900811021/conn-r-a-header-8pos-1row-2-54mm/dp/3818035"/>
    <hyperlink ref="N27" r:id="rId18" display="https://au.element14.com/wurth-elektronik/61900811621/connector-housing-rcpt-8pos-2/dp/3818418?ost=3818418"/>
    <hyperlink ref="N28" r:id="rId19" display="https://au.element14.com/multicomp-pro/mcdts6-1k/tactile-switch-4-3mm-100g/dp/9471677?ost=mcdts6-1k"/>
    <hyperlink ref="N29" r:id="rId20" display="https://au.element14.com/multicomp/test-1-bk/test-pin-pcb-black-pk100/dp/1702000"/>
    <hyperlink ref="N30" r:id="rId21" display="https://au.element14.com/schurter/0751-0110/fuse-clip-5x20mm-pcb-mount/dp/1453528"/>
    <hyperlink ref="N33" r:id="rId22" display="https://au.element14.com/vishay/k104z15y5ve5tl2/bc-components-part-number/dp/3322180"/>
    <hyperlink ref="N35" r:id="rId23" display="https://au.element14.com/vishay/k104z15y5ve5tl2/cap-0-1uf-25v-mlcc-radial/dp/3289392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4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dcterms:modified xsi:type="dcterms:W3CDTF">2026-06-05T13:55:54Z</dcterms:modified>
  <cp:revision>39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